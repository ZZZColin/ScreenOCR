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0730EB3F-75F1-03CD-C966-41DC9FD4AD36}"/>
  <workbookPr filterPrivacy="1" codeName="ThisWorkbook"/>
  <xr:revisionPtr revIDLastSave="0" documentId="13_ncr:1_{F43C9AF8-6A5B-4DE2-92DD-D19842CCCB89}" xr6:coauthVersionLast="47" xr6:coauthVersionMax="47" xr10:uidLastSave="{00000000-0000-0000-0000-000000000000}"/>
  <bookViews>
    <workbookView xWindow="-120" yWindow="-120" windowWidth="29040" windowHeight="15720" firstSheet="1" activeTab="6" xr2:uid="{00000000-000D-0000-FFFF-FFFF00000000}"/>
  </bookViews>
  <sheets>
    <sheet name="Data in EN" sheetId="3" state="hidden" r:id="rId1"/>
    <sheet name="Beauty Index" sheetId="32" r:id="rId2"/>
    <sheet name="Section 1" sheetId="23" r:id="rId3"/>
    <sheet name="Section 2" sheetId="11" r:id="rId4"/>
    <sheet name="Section 3" sheetId="12" r:id="rId5"/>
    <sheet name="Section 4" sheetId="30" r:id="rId6"/>
    <sheet name="Section 5" sheetId="19" r:id="rId7"/>
    <sheet name="Config Requirements" sheetId="20" state="hidden" r:id="rId8"/>
    <sheet name="Config Requirements_New" sheetId="29" r:id="rId9"/>
    <sheet name="Sec 1 Columns" sheetId="31" state="hidden" r:id="rId10"/>
    <sheet name="Questions to be discussed" sheetId="24" state="hidden" r:id="rId11"/>
  </sheets>
  <definedNames>
    <definedName name="_xlnm._FilterDatabase" localSheetId="2" hidden="1">'Section 1'!$A$2:$AQ$217</definedName>
    <definedName name="_xlnm._FilterDatabase" localSheetId="4" hidden="1">'Section 3'!$A$1:$F$95</definedName>
    <definedName name="_xlnm._FilterDatabase" localSheetId="5" hidden="1">'Section 4'!$A$538:$B$541</definedName>
    <definedName name="_xlnm._FilterDatabase" localSheetId="6" hidden="1">'Section 5'!$B$1:$B$127</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49" i="19" l="1"/>
  <c r="A2" i="12" l="1" a="1"/>
  <c r="A2" i="12" s="1"/>
  <c r="A3" i="12" s="1" a="1"/>
  <c r="A3" i="12" s="1"/>
  <c r="A4" i="12" l="1" a="1"/>
  <c r="A4" i="12" s="1"/>
  <c r="A5" i="12" s="1" a="1"/>
  <c r="A5" i="12" s="1"/>
  <c r="A6" i="12" l="1" a="1"/>
  <c r="A6" i="12" s="1"/>
  <c r="A7" i="12" s="1" a="1"/>
  <c r="A7" i="12" s="1"/>
  <c r="A8" i="12" l="1" a="1"/>
  <c r="A8" i="12" s="1"/>
  <c r="A9" i="12" s="1" a="1"/>
  <c r="A9" i="12" s="1"/>
  <c r="A10" i="12" l="1" a="1"/>
  <c r="A10" i="12" s="1"/>
  <c r="A11" i="12" l="1" a="1"/>
  <c r="A11" i="12" s="1"/>
  <c r="A12" i="12" l="1" a="1"/>
  <c r="A12" i="12" s="1"/>
  <c r="A13" i="12" l="1" a="1"/>
  <c r="A13" i="12" s="1"/>
  <c r="A14" i="12" s="1" a="1"/>
  <c r="A14" i="12" s="1"/>
  <c r="A15" i="12" s="1" a="1"/>
  <c r="A15" i="12" s="1"/>
  <c r="A16" i="12" s="1" a="1"/>
  <c r="A16" i="12" s="1"/>
  <c r="A17" i="12" s="1" a="1"/>
  <c r="A17" i="12" s="1"/>
  <c r="A18" i="12" s="1" a="1"/>
  <c r="A18" i="12" s="1"/>
  <c r="A19" i="12" s="1" a="1"/>
  <c r="A19" i="12" s="1"/>
  <c r="A20" i="12" s="1" a="1"/>
  <c r="A20" i="12" s="1"/>
  <c r="A21" i="12" s="1" a="1"/>
  <c r="A21" i="12" s="1"/>
  <c r="A22" i="12" s="1" a="1"/>
  <c r="A22" i="12" s="1"/>
  <c r="A23" i="12" s="1" a="1"/>
  <c r="A23" i="12" s="1"/>
  <c r="A24" i="12" s="1" a="1"/>
  <c r="A24" i="12" s="1"/>
  <c r="A25" i="12" s="1" a="1"/>
  <c r="A25" i="12" s="1"/>
  <c r="A26" i="12" s="1" a="1"/>
  <c r="A26" i="12" s="1"/>
  <c r="A27" i="12" s="1" a="1"/>
  <c r="A27" i="12" s="1"/>
  <c r="A28" i="12" s="1" a="1"/>
  <c r="A28" i="12" s="1"/>
  <c r="A29" i="12" s="1" a="1"/>
  <c r="A29" i="12" s="1"/>
  <c r="A30" i="12" s="1" a="1"/>
  <c r="A30" i="12" s="1"/>
  <c r="A31" i="12" s="1" a="1"/>
  <c r="A31" i="12" s="1"/>
  <c r="A32" i="12" s="1" a="1"/>
  <c r="A32" i="12" s="1"/>
  <c r="A33" i="12" s="1" a="1"/>
  <c r="A33" i="12" s="1"/>
  <c r="A34" i="12" s="1" a="1"/>
  <c r="A34" i="12" s="1"/>
  <c r="A35" i="12" s="1" a="1"/>
  <c r="A35" i="12" s="1"/>
  <c r="A36" i="12" s="1" a="1"/>
  <c r="A36" i="12" s="1"/>
  <c r="A37" i="12" s="1" a="1"/>
  <c r="A37" i="12" s="1"/>
  <c r="A38" i="12" s="1" a="1"/>
  <c r="A38" i="12" s="1"/>
  <c r="A39" i="12" s="1" a="1"/>
  <c r="A39" i="12" s="1"/>
  <c r="A40" i="12" s="1" a="1"/>
  <c r="A40" i="12" s="1"/>
  <c r="A41" i="12" s="1" a="1"/>
  <c r="A41" i="12" s="1"/>
  <c r="A42" i="12" s="1" a="1"/>
  <c r="A42" i="12" s="1"/>
  <c r="A43" i="12" s="1" a="1"/>
  <c r="A43" i="12" s="1"/>
  <c r="A44" i="12" s="1" a="1"/>
  <c r="A44" i="12" s="1"/>
  <c r="A45" i="12" s="1" a="1"/>
  <c r="A45" i="12" s="1"/>
  <c r="A46" i="12" s="1" a="1"/>
  <c r="A46" i="12" s="1"/>
  <c r="A47" i="12" s="1" a="1"/>
  <c r="A47" i="12" s="1"/>
  <c r="A48" i="12" s="1" a="1"/>
  <c r="A48" i="12" s="1"/>
  <c r="A49" i="12" s="1" a="1"/>
  <c r="A49" i="12" s="1"/>
  <c r="A50" i="12" s="1" a="1"/>
  <c r="A50" i="12" s="1"/>
  <c r="A51" i="12" s="1" a="1"/>
  <c r="A51" i="12" s="1"/>
  <c r="A52" i="12" s="1" a="1"/>
  <c r="A52" i="12" s="1"/>
  <c r="A53" i="12" s="1" a="1"/>
  <c r="A53" i="12" s="1"/>
  <c r="A54" i="12" s="1" a="1"/>
  <c r="A54" i="12" s="1"/>
  <c r="A55" i="12" s="1" a="1"/>
  <c r="A55" i="12" s="1"/>
  <c r="A56" i="12" s="1" a="1"/>
  <c r="A56" i="12" s="1"/>
  <c r="A57" i="12" s="1" a="1"/>
  <c r="A57" i="12" s="1"/>
  <c r="A58" i="12" s="1" a="1"/>
  <c r="A58" i="12" s="1"/>
  <c r="A59" i="12" s="1" a="1"/>
  <c r="A59" i="12" s="1"/>
  <c r="A62" i="12" l="1" a="1"/>
  <c r="A62" i="12" s="1"/>
  <c r="A63" i="12" s="1" a="1"/>
  <c r="A63" i="12" s="1"/>
  <c r="A64" i="12" s="1" a="1"/>
  <c r="A64" i="12" s="1"/>
  <c r="A65" i="12" s="1" a="1"/>
  <c r="A65" i="12" s="1"/>
  <c r="A66" i="12" s="1" a="1"/>
  <c r="A66" i="12" s="1"/>
  <c r="A67" i="12" s="1" a="1"/>
  <c r="A67" i="12" s="1"/>
  <c r="A68" i="12" s="1" a="1"/>
  <c r="A68" i="12" s="1"/>
  <c r="A69" i="12" s="1" a="1"/>
  <c r="A69" i="12" s="1"/>
  <c r="A70" i="12" s="1" a="1"/>
  <c r="A70" i="12" s="1"/>
  <c r="A71" i="12" s="1" a="1"/>
  <c r="A71" i="12" s="1"/>
  <c r="A72" i="12" s="1" a="1"/>
  <c r="A72" i="12" s="1"/>
  <c r="A73" i="12" s="1" a="1"/>
  <c r="A73" i="12" s="1"/>
  <c r="A74" i="12" s="1" a="1"/>
  <c r="A74" i="12" s="1"/>
  <c r="A75" i="12" s="1" a="1"/>
  <c r="A75" i="12" s="1"/>
  <c r="A76" i="12" s="1" a="1"/>
  <c r="A76" i="12" s="1"/>
  <c r="A77" i="12" s="1" a="1"/>
  <c r="A77" i="12" s="1"/>
  <c r="A78" i="12" s="1" a="1"/>
  <c r="A78" i="12" s="1"/>
  <c r="A79" i="12" s="1" a="1"/>
  <c r="A79" i="12" s="1"/>
  <c r="A80" i="12" s="1" a="1"/>
  <c r="A80" i="12" s="1"/>
  <c r="A81" i="12" s="1" a="1"/>
  <c r="A81" i="12" s="1"/>
  <c r="A82" i="12" s="1" a="1"/>
  <c r="A82" i="12" s="1"/>
  <c r="A83" i="12" s="1" a="1"/>
  <c r="A83" i="12" s="1"/>
  <c r="A84" i="12" s="1" a="1"/>
  <c r="A84" i="12" s="1"/>
  <c r="A85" i="12" s="1" a="1"/>
  <c r="A85" i="12" s="1"/>
  <c r="A86" i="12" s="1" a="1"/>
  <c r="A86" i="12" s="1"/>
  <c r="A87" i="12" s="1" a="1"/>
  <c r="A87" i="12" s="1"/>
  <c r="A88" i="12" s="1" a="1"/>
  <c r="A88" i="12" s="1"/>
  <c r="A89" i="12" s="1" a="1"/>
  <c r="A89" i="12" s="1"/>
  <c r="A90" i="12" s="1" a="1"/>
  <c r="A90" i="12" s="1"/>
  <c r="A91" i="12" s="1" a="1"/>
  <c r="A91" i="12" s="1"/>
  <c r="A92" i="12" s="1" a="1"/>
  <c r="A92" i="12" s="1"/>
  <c r="A93" i="12" s="1" a="1"/>
  <c r="A93" i="12" s="1"/>
  <c r="A94" i="12" s="1" a="1"/>
  <c r="A94" i="12" s="1"/>
  <c r="A95" i="12" s="1" a="1"/>
  <c r="A95" i="12" s="1"/>
  <c r="E29" i="29"/>
  <c r="B29" i="29"/>
  <c r="E28" i="29"/>
  <c r="B28" i="29"/>
  <c r="E27" i="29"/>
  <c r="B27" i="29"/>
  <c r="E26" i="29"/>
  <c r="B26" i="29"/>
  <c r="E25" i="29"/>
  <c r="B25" i="29"/>
  <c r="B24" i="29"/>
  <c r="S66" i="3" l="1"/>
  <c r="R66" i="3"/>
  <c r="Q66" i="3"/>
  <c r="P66" i="3"/>
  <c r="O66" i="3"/>
  <c r="N66" i="3"/>
  <c r="M66" i="3"/>
  <c r="L66" i="3"/>
  <c r="K66" i="3"/>
  <c r="J66" i="3"/>
  <c r="I66" i="3"/>
  <c r="H66" i="3"/>
  <c r="G66" i="3"/>
  <c r="F66" i="3"/>
  <c r="E66" i="3"/>
  <c r="D66" i="3"/>
  <c r="C66" i="3"/>
  <c r="B66" i="3"/>
  <c r="P65" i="3"/>
  <c r="O65" i="3"/>
  <c r="N65" i="3"/>
  <c r="M65" i="3"/>
  <c r="L65" i="3"/>
  <c r="K65" i="3"/>
  <c r="J65" i="3"/>
  <c r="I65" i="3"/>
  <c r="H65" i="3"/>
  <c r="G65" i="3"/>
  <c r="F65" i="3"/>
  <c r="E65" i="3"/>
  <c r="D65" i="3"/>
  <c r="C65" i="3"/>
  <c r="B65" i="3"/>
  <c r="B62" i="12" l="1"/>
  <c r="B63" i="12" l="1"/>
  <c r="B64" i="12" l="1"/>
  <c r="B65" i="12" l="1"/>
  <c r="B66" i="12" l="1"/>
  <c r="B67" i="12" l="1"/>
  <c r="B68" i="12" l="1"/>
  <c r="B69" i="12" l="1"/>
  <c r="B70" i="12" l="1"/>
  <c r="B71" i="12" l="1"/>
  <c r="B72" i="12" l="1"/>
  <c r="B73" i="12" l="1"/>
  <c r="B74" i="12" l="1"/>
  <c r="B75" i="12" l="1"/>
  <c r="B76" i="12" l="1"/>
  <c r="B77" i="12" l="1"/>
  <c r="B78" i="12" l="1"/>
  <c r="B79" i="12" l="1"/>
  <c r="B80" i="12" l="1"/>
  <c r="B81" i="12" l="1"/>
  <c r="B82" i="12" l="1"/>
  <c r="B83" i="12" l="1"/>
  <c r="B84" i="12" l="1"/>
  <c r="B85" i="12" l="1"/>
  <c r="B86" i="12" l="1"/>
  <c r="B87" i="12" l="1"/>
  <c r="B88" i="12" l="1"/>
  <c r="B89" i="12" l="1"/>
  <c r="B90" i="12" l="1"/>
  <c r="B91" i="12" l="1"/>
  <c r="B92" i="12" l="1"/>
  <c r="B93" i="12" l="1"/>
  <c r="B94" i="12" l="1"/>
  <c r="B95" i="12"/>
  <c r="B59" i="12"/>
  <c r="B58" i="12"/>
  <c r="B57" i="12"/>
  <c r="B56" i="12"/>
  <c r="B55" i="12"/>
  <c r="B54" i="12"/>
  <c r="B53" i="12"/>
  <c r="B52" i="12"/>
  <c r="B51" i="12"/>
  <c r="B50" i="12"/>
  <c r="B49" i="12"/>
  <c r="B48" i="12"/>
  <c r="B47" i="12"/>
  <c r="B46" i="12"/>
  <c r="B45" i="12"/>
  <c r="B44" i="12"/>
  <c r="B43" i="12"/>
  <c r="B42" i="12"/>
  <c r="B41" i="12"/>
  <c r="B40" i="12"/>
  <c r="B39" i="12"/>
  <c r="B38" i="12"/>
  <c r="B37" i="12"/>
  <c r="B36" i="12"/>
  <c r="B35" i="12"/>
  <c r="B34" i="12"/>
  <c r="B33" i="12"/>
  <c r="B32" i="12"/>
  <c r="B31" i="12"/>
  <c r="B30" i="12"/>
  <c r="B29" i="12"/>
  <c r="B28" i="12"/>
  <c r="B27" i="12"/>
  <c r="B26" i="12"/>
  <c r="B25" i="12"/>
  <c r="B24" i="12"/>
  <c r="B23" i="12"/>
  <c r="B22" i="12"/>
  <c r="B21" i="12"/>
  <c r="B20" i="12"/>
  <c r="B19" i="12"/>
  <c r="B18" i="12"/>
  <c r="B17" i="12"/>
  <c r="B16" i="12"/>
  <c r="B15" i="12"/>
  <c r="B14" i="12"/>
  <c r="B13" i="12"/>
  <c r="B12" i="12"/>
  <c r="B11" i="12"/>
  <c r="B10" i="12"/>
  <c r="B9" i="12"/>
  <c r="B8" i="12"/>
  <c r="B7" i="12"/>
  <c r="B6" i="12"/>
  <c r="B5" i="12"/>
  <c r="B4" i="12"/>
  <c r="B3" i="12"/>
  <c r="B2"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2" authorId="0" shapeId="0" xr:uid="{94968C25-3B93-47CD-A139-94D2CE673D39}">
      <text>
        <r>
          <rPr>
            <b/>
            <sz val="9"/>
            <color indexed="81"/>
            <rFont val="Tahoma"/>
            <family val="2"/>
          </rPr>
          <t>Author:</t>
        </r>
        <r>
          <rPr>
            <sz val="9"/>
            <color indexed="81"/>
            <rFont val="Tahoma"/>
            <family val="2"/>
          </rPr>
          <t xml:space="preserve">
选择number后，只允许输入数字，如果输入内容包含文本时，会报Alert</t>
        </r>
      </text>
    </comment>
    <comment ref="AD2" authorId="0" shapeId="0" xr:uid="{3642BE2E-9312-4F3A-8CC9-E5B353C38381}">
      <text>
        <r>
          <rPr>
            <b/>
            <sz val="9"/>
            <color indexed="81"/>
            <rFont val="Tahoma"/>
            <family val="2"/>
          </rPr>
          <t>Author:</t>
        </r>
        <r>
          <rPr>
            <sz val="9"/>
            <color indexed="81"/>
            <rFont val="Tahoma"/>
            <family val="2"/>
          </rPr>
          <t xml:space="preserve">
选择number后，只允许输入数字，如果输入内容包含文本时，会报Alert</t>
        </r>
      </text>
    </comment>
    <comment ref="A29" authorId="0" shapeId="0" xr:uid="{86538E8A-E265-4547-93AD-0019F0B38B16}">
      <text>
        <r>
          <rPr>
            <b/>
            <sz val="9"/>
            <color indexed="81"/>
            <rFont val="Tahoma"/>
            <family val="2"/>
          </rPr>
          <t>Author:</t>
        </r>
        <r>
          <rPr>
            <sz val="9"/>
            <color indexed="81"/>
            <rFont val="Tahoma"/>
            <family val="2"/>
          </rPr>
          <t xml:space="preserve">
Timeline 里面没有field 名字叫Event reason，但是可以根据每条item 的event name/Descirption 联系上下文判断出来event reason是不是New Hire 等</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1" authorId="0" shapeId="0" xr:uid="{00000000-0006-0000-0400-000001000000}">
      <text>
        <r>
          <rPr>
            <b/>
            <sz val="9"/>
            <color indexed="81"/>
            <rFont val="Tahoma"/>
            <family val="2"/>
          </rPr>
          <t>Author:</t>
        </r>
        <r>
          <rPr>
            <sz val="9"/>
            <color indexed="81"/>
            <rFont val="Tahoma"/>
            <family val="2"/>
          </rPr>
          <t xml:space="preserve">
If the left IFN not appeared in the column D, the Cell will be marked "No", 
otherwise "Yes"
This approach can remind the user if they entered Section info for all IFN
</t>
        </r>
      </text>
    </comment>
    <comment ref="C1" authorId="0" shapeId="0" xr:uid="{00000000-0006-0000-0400-000002000000}">
      <text>
        <r>
          <rPr>
            <b/>
            <sz val="9"/>
            <color indexed="81"/>
            <rFont val="Tahoma"/>
            <family val="2"/>
          </rPr>
          <t>Author:</t>
        </r>
        <r>
          <rPr>
            <sz val="9"/>
            <color indexed="81"/>
            <rFont val="Tahoma"/>
            <family val="2"/>
          </rPr>
          <t xml:space="preserve">
User need to copy the Automation generated IFN in column A, then map out the section/subscetion and Data in EN name</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<sst xmlns="http://schemas.openxmlformats.org/spreadsheetml/2006/main" count="8625" uniqueCount="1747">
  <si>
    <t>Section: Data from Worklog</t>
  </si>
  <si>
    <t>Group Name</t>
  </si>
  <si>
    <t>Bennett Day School</t>
  </si>
  <si>
    <t>Task Type</t>
  </si>
  <si>
    <t>E - Enrollment</t>
  </si>
  <si>
    <t>Event Reason</t>
  </si>
  <si>
    <t>New Hire</t>
  </si>
  <si>
    <t>Received Time</t>
  </si>
  <si>
    <t>6/12/20245</t>
  </si>
  <si>
    <t>Section: Wall</t>
  </si>
  <si>
    <t>ClientName</t>
  </si>
  <si>
    <t>1</t>
  </si>
  <si>
    <t>CreatedDate</t>
  </si>
  <si>
    <t>2</t>
  </si>
  <si>
    <t>Reason</t>
  </si>
  <si>
    <t>3</t>
  </si>
  <si>
    <t>EmpId</t>
  </si>
  <si>
    <t>4</t>
  </si>
  <si>
    <t>Feed</t>
  </si>
  <si>
    <t>5</t>
  </si>
  <si>
    <t>EmployeeName</t>
  </si>
  <si>
    <t>6</t>
  </si>
  <si>
    <t>WallID</t>
  </si>
  <si>
    <t>7</t>
  </si>
  <si>
    <t>Section: EmployeeDataSheet_EmployeeReview</t>
  </si>
  <si>
    <t>Emp ID</t>
  </si>
  <si>
    <t>External ID</t>
  </si>
  <si>
    <t>First Name</t>
  </si>
  <si>
    <t>qwertyuiopasdfghjklzxcvbnm</t>
  </si>
  <si>
    <t>Middle</t>
  </si>
  <si>
    <t>Mary</t>
  </si>
  <si>
    <t>Last Name</t>
  </si>
  <si>
    <t>testqwertyuiopasdfghjklzxcvbnm</t>
  </si>
  <si>
    <t>Suffix</t>
  </si>
  <si>
    <t/>
  </si>
  <si>
    <t>Client</t>
  </si>
  <si>
    <t>Office</t>
  </si>
  <si>
    <t>Job Title</t>
  </si>
  <si>
    <t>Account Executive</t>
  </si>
  <si>
    <t>Emp Status</t>
  </si>
  <si>
    <t>Terminated</t>
  </si>
  <si>
    <t>Client Class</t>
  </si>
  <si>
    <t>Class 1</t>
  </si>
  <si>
    <t>Class Changed</t>
  </si>
  <si>
    <t>Client Division</t>
  </si>
  <si>
    <t>Dimerco Express USA</t>
  </si>
  <si>
    <t>Client Dept</t>
  </si>
  <si>
    <t>Undefined</t>
  </si>
  <si>
    <t>Hire_Date</t>
  </si>
  <si>
    <t>07/01/2024</t>
  </si>
  <si>
    <t>Hired On</t>
  </si>
  <si>
    <t>03/15/2022</t>
  </si>
  <si>
    <t>Original Hire Date</t>
  </si>
  <si>
    <t>DOB</t>
  </si>
  <si>
    <t>09/09/1963</t>
  </si>
  <si>
    <t>Age</t>
  </si>
  <si>
    <t>SSN</t>
  </si>
  <si>
    <t>012345848</t>
  </si>
  <si>
    <t>138-52-6101</t>
  </si>
  <si>
    <t>Gender</t>
  </si>
  <si>
    <t>M</t>
  </si>
  <si>
    <t>Married</t>
  </si>
  <si>
    <t>Unknown</t>
  </si>
  <si>
    <t>Tobacco</t>
  </si>
  <si>
    <t>Yes</t>
  </si>
  <si>
    <t>Tobacco Date</t>
  </si>
  <si>
    <t>12/11/2023</t>
  </si>
  <si>
    <t>Race/Ethnicity</t>
  </si>
  <si>
    <t>US Citizen</t>
  </si>
  <si>
    <t>Base Salary</t>
  </si>
  <si>
    <t>65000.00</t>
  </si>
  <si>
    <t>Hourly Rate</t>
  </si>
  <si>
    <t>Salary Effective</t>
  </si>
  <si>
    <t>10/24/2023</t>
  </si>
  <si>
    <t>Benefit Salary</t>
  </si>
  <si>
    <t>Benefit Salary Effective</t>
  </si>
  <si>
    <t>Previous W2</t>
  </si>
  <si>
    <t>Disabled</t>
  </si>
  <si>
    <t>Veteran</t>
  </si>
  <si>
    <t>Medicare Eligible</t>
  </si>
  <si>
    <t>Annual Review Date</t>
  </si>
  <si>
    <t>Completed</t>
  </si>
  <si>
    <t>Active</t>
  </si>
  <si>
    <t>Imported Date</t>
  </si>
  <si>
    <t>2022-03-16T19:06:22.0000000Z</t>
  </si>
  <si>
    <t>Created Date</t>
  </si>
  <si>
    <t>Created By</t>
  </si>
  <si>
    <t xml:space="preserve"> System</t>
  </si>
  <si>
    <t>Last Updated Date</t>
  </si>
  <si>
    <t>06/11/2024</t>
  </si>
  <si>
    <t>Last Updated Date(Trigger)</t>
  </si>
  <si>
    <t>2024-06-12T01:44:51.0000000Z</t>
  </si>
  <si>
    <t>Last Updated By</t>
  </si>
  <si>
    <t>Termination Date</t>
  </si>
  <si>
    <t>05/31/2024</t>
  </si>
  <si>
    <t>Terminated On</t>
  </si>
  <si>
    <t>Termination Reason</t>
  </si>
  <si>
    <t>Voluntary Termination</t>
  </si>
  <si>
    <t>Cobra Status</t>
  </si>
  <si>
    <t>Not Elected</t>
  </si>
  <si>
    <t>Demographic Change Effective Date</t>
  </si>
  <si>
    <t>Section: EmployeeDataSheet_Dependents</t>
  </si>
  <si>
    <t>8</t>
  </si>
  <si>
    <t>9</t>
  </si>
  <si>
    <t>10</t>
  </si>
  <si>
    <t>11</t>
  </si>
  <si>
    <t>12</t>
  </si>
  <si>
    <t>13</t>
  </si>
  <si>
    <t>14</t>
  </si>
  <si>
    <t>15</t>
  </si>
  <si>
    <t>Dep Id</t>
  </si>
  <si>
    <t>251999</t>
  </si>
  <si>
    <t>Relationship</t>
  </si>
  <si>
    <t>Child</t>
  </si>
  <si>
    <t>Spouse</t>
  </si>
  <si>
    <t>Ex-Spouse</t>
  </si>
  <si>
    <t>Domestic Partner</t>
  </si>
  <si>
    <t>Ex-Civil Union Spouse</t>
  </si>
  <si>
    <t>Civil Union Spouse</t>
  </si>
  <si>
    <t>Ex-Domestic Partner</t>
  </si>
  <si>
    <t>Legal Dependent</t>
  </si>
  <si>
    <t>Deceased Dependent</t>
  </si>
  <si>
    <t>Deceased Spouse</t>
  </si>
  <si>
    <t>Leoqwertyuiopasdfghjklasdsad</t>
  </si>
  <si>
    <t>TestA</t>
  </si>
  <si>
    <t>TestB</t>
  </si>
  <si>
    <t>TESTC</t>
  </si>
  <si>
    <t>TESTD</t>
  </si>
  <si>
    <t>TESTF</t>
  </si>
  <si>
    <t>TESTG</t>
  </si>
  <si>
    <t>TESTH</t>
  </si>
  <si>
    <t>TESTI</t>
  </si>
  <si>
    <t>TESTJ</t>
  </si>
  <si>
    <t>TESTK</t>
  </si>
  <si>
    <t>TESTL</t>
  </si>
  <si>
    <t>TESTM</t>
  </si>
  <si>
    <t>TESTN</t>
  </si>
  <si>
    <t>Burke</t>
  </si>
  <si>
    <t>Burkeqwertyuiopasdfghjklasdsad</t>
  </si>
  <si>
    <t>Address1</t>
  </si>
  <si>
    <t>1102 Woodside Crossing</t>
  </si>
  <si>
    <t>Address2</t>
  </si>
  <si>
    <t>City</t>
  </si>
  <si>
    <t>Savannah</t>
  </si>
  <si>
    <t>State</t>
  </si>
  <si>
    <t>GA</t>
  </si>
  <si>
    <t>County</t>
  </si>
  <si>
    <t>Zip</t>
  </si>
  <si>
    <t>31405</t>
  </si>
  <si>
    <t>Address Validation Status</t>
  </si>
  <si>
    <t>StreetAddressValidated</t>
  </si>
  <si>
    <t>User Address Action</t>
  </si>
  <si>
    <t>SuggestionsNotPresented</t>
  </si>
  <si>
    <t>HR Address Action</t>
  </si>
  <si>
    <t>ReviewNotNeeded</t>
  </si>
  <si>
    <t>11/06/19612323</t>
  </si>
  <si>
    <t>02/01/2003</t>
  </si>
  <si>
    <t>814-17-3501</t>
  </si>
  <si>
    <t>814173501</t>
  </si>
  <si>
    <t>814-17-350</t>
  </si>
  <si>
    <t>F</t>
  </si>
  <si>
    <t>Sequence</t>
  </si>
  <si>
    <t>No</t>
  </si>
  <si>
    <t>Disabled Date</t>
  </si>
  <si>
    <t>Student</t>
  </si>
  <si>
    <t>(Full-Time)</t>
  </si>
  <si>
    <t>N/A</t>
  </si>
  <si>
    <t>Student Start</t>
  </si>
  <si>
    <t>Student End</t>
  </si>
  <si>
    <t>03/16/2022</t>
  </si>
  <si>
    <t>Created_by</t>
  </si>
  <si>
    <t>2022-03-16T15:27:07.0000000Z</t>
  </si>
  <si>
    <t>2021-11-03T01:56:06.0000000Z</t>
  </si>
  <si>
    <t>Section: EmployeeDataSheet_EmployeeAddresses</t>
  </si>
  <si>
    <t>id</t>
  </si>
  <si>
    <t>Address Type</t>
  </si>
  <si>
    <t>Home</t>
  </si>
  <si>
    <t>Mailing</t>
  </si>
  <si>
    <t xml:space="preserve">#1815 N Albany Ave. </t>
  </si>
  <si>
    <t>IL</t>
  </si>
  <si>
    <t>31405-1234</t>
  </si>
  <si>
    <t>Province</t>
  </si>
  <si>
    <t>Country</t>
  </si>
  <si>
    <t>US</t>
  </si>
  <si>
    <t>Implicit Address Validation Status</t>
  </si>
  <si>
    <t>Precedence</t>
  </si>
  <si>
    <t>Section: Profile_Contact</t>
  </si>
  <si>
    <t>Home Phone</t>
  </si>
  <si>
    <t>(904) 710-5066</t>
  </si>
  <si>
    <t>Mobile Phone</t>
  </si>
  <si>
    <t>9047105066</t>
  </si>
  <si>
    <t>Work Phone</t>
  </si>
  <si>
    <t>Work Phone Ext</t>
  </si>
  <si>
    <t>Work Email</t>
  </si>
  <si>
    <t>mary_m_mackson@dimerco.com</t>
  </si>
  <si>
    <t>Personal Email</t>
  </si>
  <si>
    <t>mary_mackson@yahoo.comQWERTYUIOPASDFGHJKLZXCVBMNHGFAF</t>
  </si>
  <si>
    <t>Primary Email Type</t>
  </si>
  <si>
    <t>Personal</t>
  </si>
  <si>
    <t>Section: EmployeeDataSheet_CafeteriaEnrollments</t>
  </si>
  <si>
    <t>Id</t>
  </si>
  <si>
    <t>PE ID</t>
  </si>
  <si>
    <t>Type</t>
  </si>
  <si>
    <t>Current</t>
  </si>
  <si>
    <t>Prior</t>
  </si>
  <si>
    <t>Benefit</t>
  </si>
  <si>
    <t>Flexible Spending Account</t>
  </si>
  <si>
    <t>Dependent Care Spending Account</t>
  </si>
  <si>
    <t>Limited Purpose FSA</t>
  </si>
  <si>
    <t>Start Date</t>
  </si>
  <si>
    <t>01/01/2024</t>
  </si>
  <si>
    <t>02/01/2022</t>
  </si>
  <si>
    <t>01/01/2023</t>
  </si>
  <si>
    <t>12/09/2022</t>
  </si>
  <si>
    <t>12/13/2022</t>
  </si>
  <si>
    <t>End Date</t>
  </si>
  <si>
    <t>12/10/2023</t>
  </si>
  <si>
    <t>12/31/2022</t>
  </si>
  <si>
    <t>12/31/2023</t>
  </si>
  <si>
    <t>12/08/2022</t>
  </si>
  <si>
    <t>12/12/2022</t>
  </si>
  <si>
    <t>Per Pay Deduction</t>
  </si>
  <si>
    <t>Pay Periods</t>
  </si>
  <si>
    <t>Current Election</t>
  </si>
  <si>
    <t>Annual Election</t>
  </si>
  <si>
    <t>Emp Per Pay Deduction</t>
  </si>
  <si>
    <t>Emp Annual Election</t>
  </si>
  <si>
    <t>Flex Dollars</t>
  </si>
  <si>
    <t>Periods Adjusted</t>
  </si>
  <si>
    <t>Periods Adjusted Date</t>
  </si>
  <si>
    <t>Decline Date</t>
  </si>
  <si>
    <t>Prior Start</t>
  </si>
  <si>
    <t>01/01/2022</t>
  </si>
  <si>
    <t>Prior Deduction</t>
  </si>
  <si>
    <t>Ended On</t>
  </si>
  <si>
    <t>12/29/2023</t>
  </si>
  <si>
    <t>Ended on Periods</t>
  </si>
  <si>
    <t>Ended On Deduction</t>
  </si>
  <si>
    <t>Created date</t>
  </si>
  <si>
    <t>Created by</t>
  </si>
  <si>
    <t>Last updated date</t>
  </si>
  <si>
    <t>Last updated by</t>
  </si>
  <si>
    <t>yes</t>
  </si>
  <si>
    <t>Section: EmployeeDataSheet_Enrollments</t>
  </si>
  <si>
    <t>Benefit Category</t>
  </si>
  <si>
    <t>Medical</t>
  </si>
  <si>
    <t>Accident</t>
  </si>
  <si>
    <t>Critical Illness</t>
  </si>
  <si>
    <t>Dental</t>
  </si>
  <si>
    <t>Vision</t>
  </si>
  <si>
    <t>Group Life</t>
  </si>
  <si>
    <t>Voluntary Short-Term Disability</t>
  </si>
  <si>
    <t>Voluntary AD&amp;D</t>
  </si>
  <si>
    <t>Transit Reimbursement</t>
  </si>
  <si>
    <t>Health Savings Account</t>
  </si>
  <si>
    <t>Group Short-Term Disability</t>
  </si>
  <si>
    <t>Group Long-Term Disability</t>
  </si>
  <si>
    <t>Life</t>
  </si>
  <si>
    <t>Voluntary Life</t>
  </si>
  <si>
    <t>Plan Id</t>
  </si>
  <si>
    <t>Plan Title</t>
  </si>
  <si>
    <t>2023 Blue Edge HSA HDHP MIEEE3083 - Medical</t>
  </si>
  <si>
    <t>Accident Benefit 2024</t>
  </si>
  <si>
    <t>Voluntary Critical Illness</t>
  </si>
  <si>
    <t>UHC Dental High Plan 2024</t>
  </si>
  <si>
    <t>UHC Vision 2024</t>
  </si>
  <si>
    <t>Employee Life and AD&amp;D 2024</t>
  </si>
  <si>
    <t>Flexible Spending Account (FSA) 2024</t>
  </si>
  <si>
    <t>Dependent Care FSA 2024</t>
  </si>
  <si>
    <t>Limited Purpose FSA 2024</t>
  </si>
  <si>
    <t>2023 Flexible Spending Account</t>
  </si>
  <si>
    <t>2023 Dependent Care FSA</t>
  </si>
  <si>
    <t>2023 Limited Purpose FSA</t>
  </si>
  <si>
    <t>2023 Transit Reimbursement</t>
  </si>
  <si>
    <t>2024 Accident Insurance</t>
  </si>
  <si>
    <t>2024 Health Savings Account (HSA)</t>
  </si>
  <si>
    <t>2024 Voluntary Critical Illness</t>
  </si>
  <si>
    <t>2024 LOW Voluntary Option Network Dental Plan</t>
  </si>
  <si>
    <t>2024 Voluntary Vision Plan</t>
  </si>
  <si>
    <t>2024 Employer Sponsored Life Insurance Plan</t>
  </si>
  <si>
    <t>2024 Employer Sponsored Short Term Disability</t>
  </si>
  <si>
    <t>2024 Employer Sponsored Long Term Disability</t>
  </si>
  <si>
    <t>2020 S507OPT Blue Options PPO</t>
  </si>
  <si>
    <t>2021 Blue Edge HSA HDHP MIEEE2080</t>
  </si>
  <si>
    <t>2022 Blue Edge HSA HDHP MIEEE2080</t>
  </si>
  <si>
    <t>2021 Accident Edge 4A</t>
  </si>
  <si>
    <t>2022 Accident Insurance</t>
  </si>
  <si>
    <t>2022 Health Savings Account (HSA)</t>
  </si>
  <si>
    <t>2021 Critical Illness</t>
  </si>
  <si>
    <t>2022 Voluntary Critical Illness</t>
  </si>
  <si>
    <t>2020 HIGH Dental Plan</t>
  </si>
  <si>
    <t>2021 LOW Voluntary Option Network Dental Plan</t>
  </si>
  <si>
    <t>2022 LOW Voluntary Option Network Dental Plan</t>
  </si>
  <si>
    <t>2020 Vision Plan</t>
  </si>
  <si>
    <t>2021 Voluntary Vision Plan</t>
  </si>
  <si>
    <t>2022 Voluntary Vision Plan</t>
  </si>
  <si>
    <t>2020 Employer Sponsored Life</t>
  </si>
  <si>
    <t>2021 Employer Sponsored Life Insurance Plan</t>
  </si>
  <si>
    <t>2022 Employer Sponsored Life Insurance Plan</t>
  </si>
  <si>
    <t>2023 Employer Sponsored Life Insurance Plan</t>
  </si>
  <si>
    <t>2020 Employer Sponsored Short Term Disability</t>
  </si>
  <si>
    <t>2021 Employer Sponsored Short Term Disability</t>
  </si>
  <si>
    <t>2022 Employer Sponsored Short Term Disability</t>
  </si>
  <si>
    <t>2023 Employer Sponsored Short Term Disability</t>
  </si>
  <si>
    <t>2020 Long Term Disability</t>
  </si>
  <si>
    <t>2021 Employer Sponsored Long Term Disability</t>
  </si>
  <si>
    <t>2022 Employer Sponsored Long Term Disability</t>
  </si>
  <si>
    <t>2023 Employer Sponsored Long Term Disability</t>
  </si>
  <si>
    <t>2020 Voluntary Life</t>
  </si>
  <si>
    <t>2022 Flexible Spending Account</t>
  </si>
  <si>
    <t>2022 Dependent Care FSA</t>
  </si>
  <si>
    <t>2022 Limited Purpose FSA</t>
  </si>
  <si>
    <t>2022 Transit Reimbursement</t>
  </si>
  <si>
    <t>2023 Health Savings Account (HSA)</t>
  </si>
  <si>
    <t>Open</t>
  </si>
  <si>
    <t>Removed</t>
  </si>
  <si>
    <t>On COBRA</t>
  </si>
  <si>
    <t>Employee Cost</t>
  </si>
  <si>
    <t>0.00</t>
  </si>
  <si>
    <t>14.83</t>
  </si>
  <si>
    <t>35.10</t>
  </si>
  <si>
    <t>12.45</t>
  </si>
  <si>
    <t>7.50</t>
  </si>
  <si>
    <t>Client Cost</t>
  </si>
  <si>
    <t>566.06</t>
  </si>
  <si>
    <t>32.03</t>
  </si>
  <si>
    <t>4.00</t>
  </si>
  <si>
    <t>Plan Cost</t>
  </si>
  <si>
    <t>44.48</t>
  </si>
  <si>
    <t>Rider Cost</t>
  </si>
  <si>
    <t>Total Employee Cost</t>
  </si>
  <si>
    <t>Total Plan Cost</t>
  </si>
  <si>
    <t>Employee Per Pay Cost</t>
  </si>
  <si>
    <t>6.84</t>
  </si>
  <si>
    <t>16.20</t>
  </si>
  <si>
    <t>5.75</t>
  </si>
  <si>
    <t>3.46</t>
  </si>
  <si>
    <t>76.92</t>
  </si>
  <si>
    <t>Client Per Pay Cost</t>
  </si>
  <si>
    <t>261.26</t>
  </si>
  <si>
    <t>14.78</t>
  </si>
  <si>
    <t>1.85</t>
  </si>
  <si>
    <t>Coverage_Level</t>
  </si>
  <si>
    <t>Employee</t>
  </si>
  <si>
    <t>Employee + Family</t>
  </si>
  <si>
    <t>Employee + Spouse</t>
  </si>
  <si>
    <t>Benefit Amount</t>
  </si>
  <si>
    <t>5000.00</t>
  </si>
  <si>
    <t>25000.00</t>
  </si>
  <si>
    <t>Enrolled Date</t>
  </si>
  <si>
    <t>2023-12-11T19:59:55.0000000Z</t>
  </si>
  <si>
    <t>2023-12-11T20:01:09.0000000Z</t>
  </si>
  <si>
    <t>2023-12-11T20:07:11.0000000Z</t>
  </si>
  <si>
    <t>2023-12-11T20:09:55.0000000Z</t>
  </si>
  <si>
    <t>2023-12-11T20:10:05.0000000Z</t>
  </si>
  <si>
    <t>2023-12-11T20:10:17.0000000Z</t>
  </si>
  <si>
    <t>2023-12-11T20:11:02.0000000Z</t>
  </si>
  <si>
    <t>2023-12-18T21:50:32.0000000Z</t>
  </si>
  <si>
    <t>2023-06-21T18:45:55.0000000Z</t>
  </si>
  <si>
    <t>2023-06-21T18:46:06.0000000Z</t>
  </si>
  <si>
    <t>2024-06-13T22:13:21.0000000Z</t>
  </si>
  <si>
    <t>2023-06-21T18:46:31.0000000Z</t>
  </si>
  <si>
    <t>2023-06-21T18:44:11.0000000Z</t>
  </si>
  <si>
    <t>2023-06-21T18:45:15.0000000Z</t>
  </si>
  <si>
    <t>2023-06-21T18:47:30.0000000Z</t>
  </si>
  <si>
    <t>2023-06-21T18:45:24.0000000Z</t>
  </si>
  <si>
    <t>2023-06-21T18:45:29.0000000Z</t>
  </si>
  <si>
    <t>2021-06-13T22:17:17.0000000Z</t>
  </si>
  <si>
    <t>2021-06-14T15:29:42.0000000Z</t>
  </si>
  <si>
    <t>2022-06-09T21:48:10.0000000Z</t>
  </si>
  <si>
    <t>2021-09-01T20:31:11.0000000Z</t>
  </si>
  <si>
    <t>2022-06-09T21:52:51.0000000Z</t>
  </si>
  <si>
    <t>2022-06-09T21:49:50.0000000Z</t>
  </si>
  <si>
    <t>2021-12-01T14:12:51.0000000Z</t>
  </si>
  <si>
    <t>2022-06-09T21:53:43.0000000Z</t>
  </si>
  <si>
    <t>2021-06-13T22:43:40.0000000Z</t>
  </si>
  <si>
    <t>2021-06-14T15:31:15.0000000Z</t>
  </si>
  <si>
    <t>2022-06-09T21:50:16.0000000Z</t>
  </si>
  <si>
    <t>2021-06-13T22:44:40.0000000Z</t>
  </si>
  <si>
    <t>2021-06-14T15:31:21.0000000Z</t>
  </si>
  <si>
    <t>2022-06-09T21:50:25.0000000Z</t>
  </si>
  <si>
    <t>2021-06-13T22:45:40.0000000Z</t>
  </si>
  <si>
    <t>2021-06-14T15:31:30.0000000Z</t>
  </si>
  <si>
    <t>2022-06-09T21:50:44.0000000Z</t>
  </si>
  <si>
    <t>2023-07-02T09:00:58.0000000Z</t>
  </si>
  <si>
    <t>2021-06-13T22:48:10.0000000Z</t>
  </si>
  <si>
    <t>2021-06-14T15:33:08.0000000Z</t>
  </si>
  <si>
    <t>2022-06-09T21:51:23.0000000Z</t>
  </si>
  <si>
    <t>2023-07-02T09:01:08.0000000Z</t>
  </si>
  <si>
    <t>2021-06-13T22:49:10.0000000Z</t>
  </si>
  <si>
    <t>2021-06-14T15:33:13.0000000Z</t>
  </si>
  <si>
    <t>2022-06-09T21:51:37.0000000Z</t>
  </si>
  <si>
    <t>2023-07-02T09:01:40.0000000Z</t>
  </si>
  <si>
    <t>2021-06-13T22:46:59.0000000Z</t>
  </si>
  <si>
    <t>2021-06-14T15:34:00.0000000Z</t>
  </si>
  <si>
    <t>2022-06-09T21:52:09.0000000Z</t>
  </si>
  <si>
    <t>2022-06-09T21:52:20.0000000Z</t>
  </si>
  <si>
    <t>2023-06-20T19:00:16.0000000Z</t>
  </si>
  <si>
    <t>Effective Date</t>
  </si>
  <si>
    <t>Covg End Date</t>
  </si>
  <si>
    <t>2024-06-12T01:45:00.0000000Z</t>
  </si>
  <si>
    <t>2023-12-11T20:12:00.0000000Z</t>
  </si>
  <si>
    <t>2023-12-11T20:15:00.0000000Z</t>
  </si>
  <si>
    <t>2023-06-21T18:47:00.0000000Z</t>
  </si>
  <si>
    <t>2021-07-01T12:30:00.0000000Z</t>
  </si>
  <si>
    <t>2022-07-01T08:32:00.0000000Z</t>
  </si>
  <si>
    <t>2023-07-06T04:56:00.0000000Z</t>
  </si>
  <si>
    <t>2022-11-01T04:49:00.0000000Z</t>
  </si>
  <si>
    <t>2023-07-02T09:01:00.0000000Z</t>
  </si>
  <si>
    <t>2023-07-02T09:02:00.0000000Z</t>
  </si>
  <si>
    <t>2022-06-09T21:54:00.0000000Z</t>
  </si>
  <si>
    <t>2022-06-09T21:55:00.0000000Z</t>
  </si>
  <si>
    <t>2022-06-09T21:56:00.0000000Z</t>
  </si>
  <si>
    <t>2023-12-18T15:47:00.0000000Z</t>
  </si>
  <si>
    <t>2024-01-02T21:37:00.0000000Z</t>
  </si>
  <si>
    <t>Sign Date</t>
  </si>
  <si>
    <t>12/18/2023</t>
  </si>
  <si>
    <t>Start Reason</t>
  </si>
  <si>
    <t>Bulk Plan Cost/Benefit Recalculated</t>
  </si>
  <si>
    <t>Open Enrollment</t>
  </si>
  <si>
    <t>Insurability Request Granted</t>
  </si>
  <si>
    <t>Plan Cost/Benefit Recalculated</t>
  </si>
  <si>
    <t>Modify Enrollment</t>
  </si>
  <si>
    <t>Other</t>
  </si>
  <si>
    <t xml:space="preserve"> Plan Cost Increase or Correction</t>
  </si>
  <si>
    <t>Bulk enrollment</t>
  </si>
  <si>
    <t>End Reason</t>
  </si>
  <si>
    <t>Opt-out (waive coverage)</t>
  </si>
  <si>
    <t>Replaced during open enrollment</t>
  </si>
  <si>
    <t>Closed out during open enrollment</t>
  </si>
  <si>
    <t>Plan Age Reduction or Enrollment Correction</t>
  </si>
  <si>
    <t>Replaced during open enrollment with decline</t>
  </si>
  <si>
    <t>Canceled Date</t>
  </si>
  <si>
    <t>Decline Reason</t>
  </si>
  <si>
    <t>Not Interested</t>
  </si>
  <si>
    <t>Ineligible for this plan</t>
  </si>
  <si>
    <t>Covered under individual plan</t>
  </si>
  <si>
    <t>Base Client Cost</t>
  </si>
  <si>
    <t>Defined Contribution</t>
  </si>
  <si>
    <t>Prior Effective Date</t>
  </si>
  <si>
    <t>Original Effective Date</t>
  </si>
  <si>
    <t>Maintenance Code Date</t>
  </si>
  <si>
    <t>Is Currently Skipped</t>
  </si>
  <si>
    <t>N</t>
  </si>
  <si>
    <t>Is Post Tax</t>
  </si>
  <si>
    <t>Tax Option</t>
  </si>
  <si>
    <t>Benefit ID</t>
  </si>
  <si>
    <t>5780</t>
  </si>
  <si>
    <t>9015</t>
  </si>
  <si>
    <t>Rate ID</t>
  </si>
  <si>
    <t>618608</t>
  </si>
  <si>
    <t>618623</t>
  </si>
  <si>
    <t>45859</t>
  </si>
  <si>
    <t>618657</t>
  </si>
  <si>
    <t>618742</t>
  </si>
  <si>
    <t>64559</t>
  </si>
  <si>
    <t>Skipped Date</t>
  </si>
  <si>
    <t>Skipped By</t>
  </si>
  <si>
    <t>Skipped On</t>
  </si>
  <si>
    <t>Carrier Tobacco Override</t>
  </si>
  <si>
    <t>Is Transmittable</t>
  </si>
  <si>
    <t>Suppress Is Transmittable</t>
  </si>
  <si>
    <t>Suppressed By</t>
  </si>
  <si>
    <t>Suppressed On</t>
  </si>
  <si>
    <t>Mary Mackson-Burke</t>
  </si>
  <si>
    <t>Julie  Mueller</t>
  </si>
  <si>
    <t>Sandy Guido</t>
  </si>
  <si>
    <t>Cameron Smith</t>
  </si>
  <si>
    <t>Nichole Ward</t>
  </si>
  <si>
    <t>2024-06-12T01:44:50.0000000Z</t>
  </si>
  <si>
    <t>2023-12-29T05:51:52.0000000Z</t>
  </si>
  <si>
    <t>2023-07-06T04:55:44.0000000Z</t>
  </si>
  <si>
    <t>2024-06-11T05:36:13.0000000Z</t>
  </si>
  <si>
    <t>2024-06-13T22:14:35.0000000Z</t>
  </si>
  <si>
    <t>2024-06-11T05:36:14.0000000Z</t>
  </si>
  <si>
    <t>2024-06-11T05:36:16.0000000Z</t>
  </si>
  <si>
    <t>2024-06-11T05:36:15.0000000Z</t>
  </si>
  <si>
    <t>2021-07-01T12:30:02.0000000Z</t>
  </si>
  <si>
    <t>2022-07-01T08:32:07.0000000Z</t>
  </si>
  <si>
    <t>2023-07-06T04:55:42.0000000Z</t>
  </si>
  <si>
    <t>2022-11-01T04:49:19.0000000Z</t>
  </si>
  <si>
    <t>2023-12-18T15:47:01.0000000Z</t>
  </si>
  <si>
    <t>2024-01-02T21:37:09.0000000Z</t>
  </si>
  <si>
    <t>Section: EmployeeDataSheet_EnrollmentChanges</t>
  </si>
  <si>
    <t>Event Id</t>
  </si>
  <si>
    <t>Event</t>
  </si>
  <si>
    <t>Enrollment change</t>
  </si>
  <si>
    <t>Field</t>
  </si>
  <si>
    <t>Add Dependent</t>
  </si>
  <si>
    <t>Changed On</t>
  </si>
  <si>
    <t>2024-06-15T01:44:51.0000000Z</t>
  </si>
  <si>
    <t>2024-07-12T01:44:51.0000000Z</t>
  </si>
  <si>
    <t>Prior Value</t>
  </si>
  <si>
    <t>Value</t>
  </si>
  <si>
    <t>5/31/2024 12:00:00 AM</t>
  </si>
  <si>
    <t>Section: BenefitsSummary_Current</t>
  </si>
  <si>
    <t>Subsection: Enrolled Plans</t>
  </si>
  <si>
    <t>Plan Type</t>
  </si>
  <si>
    <t>Carrier</t>
  </si>
  <si>
    <t>Blue Cross Blue Shield of Illinois</t>
  </si>
  <si>
    <t>WEX</t>
  </si>
  <si>
    <t>Principal Financial Group</t>
  </si>
  <si>
    <t>Plan Name</t>
  </si>
  <si>
    <t>2023 LOW Voluntary Option Network Dental Plan</t>
  </si>
  <si>
    <t>2023 Voluntary Vision Plan</t>
  </si>
  <si>
    <t>2023 Accident Insurance</t>
  </si>
  <si>
    <t>2023 Voluntary Critical Illness</t>
  </si>
  <si>
    <t>Coverage</t>
  </si>
  <si>
    <t>Employee + Family+1</t>
  </si>
  <si>
    <t>Effective</t>
  </si>
  <si>
    <t>Cost Per Pay</t>
  </si>
  <si>
    <t>Contributions</t>
  </si>
  <si>
    <t>Subsection: Ended Coverage</t>
  </si>
  <si>
    <t>Surest $0 Deductible PPO 2024 (HMO-like Option)</t>
  </si>
  <si>
    <t>Coverage End Date</t>
  </si>
  <si>
    <t>Subsection: Dependents</t>
  </si>
  <si>
    <t>Name</t>
  </si>
  <si>
    <t>Ken Burke (spouse)</t>
  </si>
  <si>
    <t>Plan Types</t>
  </si>
  <si>
    <t>Ken Burke (spouse)not enrolled in any benefitsFlexible Spending Account (FSA) 2024</t>
  </si>
  <si>
    <t>Subsection: Cafeteria Plans</t>
  </si>
  <si>
    <t>Per Pay Amount</t>
  </si>
  <si>
    <t>Subsection: Health Savings AccountContribution Statement</t>
  </si>
  <si>
    <t>PlanType</t>
  </si>
  <si>
    <t>Estimated Per Pay</t>
  </si>
  <si>
    <t>Yearly Contribution</t>
  </si>
  <si>
    <t>Started</t>
  </si>
  <si>
    <t>Ended</t>
  </si>
  <si>
    <t>Subsection: Declined Coverage</t>
  </si>
  <si>
    <t>Section: BenefitsSummary_OpenEnrollment</t>
  </si>
  <si>
    <t>Ken Burke (spouse)not enrolled in any benefits</t>
  </si>
  <si>
    <t>Section: BenefitsSummary_PendingPeriod</t>
  </si>
  <si>
    <t>Section: BenefitsSummary_History</t>
  </si>
  <si>
    <t>Coverages</t>
  </si>
  <si>
    <t>Unspecified Carrier</t>
  </si>
  <si>
    <t>Option 1: BCBS PPO $0 Deductible 2023</t>
  </si>
  <si>
    <t>Option 1: BCBS PPO $0 Deductible 2022</t>
  </si>
  <si>
    <t>BCBS Dental High Plan 2023</t>
  </si>
  <si>
    <t>BCBS Dental High Plan 2022</t>
  </si>
  <si>
    <t>BCBSIL Vision 2023</t>
  </si>
  <si>
    <t>BCBSIL Vision 2022</t>
  </si>
  <si>
    <t>Employee Life and AD&amp;D 2023</t>
  </si>
  <si>
    <t>Employee Life and AD&amp;D 2022</t>
  </si>
  <si>
    <t>Flexible Spending Account (FSA) 2023</t>
  </si>
  <si>
    <t>Flexible Spending Account (FSA) 2022</t>
  </si>
  <si>
    <t>Coverage Start Date</t>
  </si>
  <si>
    <t>$36.60</t>
  </si>
  <si>
    <t>$35.58</t>
  </si>
  <si>
    <t>$5.60</t>
  </si>
  <si>
    <t>$3.81</t>
  </si>
  <si>
    <t>$0</t>
  </si>
  <si>
    <t>$76.92</t>
  </si>
  <si>
    <t>$62.50</t>
  </si>
  <si>
    <t>$25,000</t>
  </si>
  <si>
    <t>Section: Plans</t>
  </si>
  <si>
    <t>Nexus ACO $3,500 Deductible HSA 2024</t>
  </si>
  <si>
    <t>Health Savings Account (HSA) 2024</t>
  </si>
  <si>
    <t>UHC Dental Low Plan 2024</t>
  </si>
  <si>
    <t>BCBS Dental Low Plan 2023</t>
  </si>
  <si>
    <t>UnitedHealthcare</t>
  </si>
  <si>
    <t>Guardian</t>
  </si>
  <si>
    <t>Optum Bank</t>
  </si>
  <si>
    <t>Section: Timeline</t>
  </si>
  <si>
    <t>EventId</t>
  </si>
  <si>
    <t>Retroactive Deduction Change</t>
  </si>
  <si>
    <t>Employee Terminated - Coverage Ended</t>
  </si>
  <si>
    <t>Employee Terminated</t>
  </si>
  <si>
    <t>Enrollment ended</t>
  </si>
  <si>
    <t>COBRA Qualifying Event Triggered</t>
  </si>
  <si>
    <t>StartDateUtc</t>
  </si>
  <si>
    <t>2024-06-12T01:45:03Z</t>
  </si>
  <si>
    <t>EventDate</t>
  </si>
  <si>
    <t>Description</t>
  </si>
  <si>
    <t>Event Date 5/31/2024 | Eligible Date 6/1/2024 | UHC Vision 2024</t>
  </si>
  <si>
    <t>Vision deduction ended (VIS: $3.46) effective 5/31/2024 12:00:00 AM</t>
  </si>
  <si>
    <t>Flexible Spending Account deduction ended (FSA: $76.92) effective 5/31/2024 12:00:00 AM</t>
  </si>
  <si>
    <t>Dental deduction ended (DEN: $5.75) effective 5/31/2024 12:00:00 AM</t>
  </si>
  <si>
    <t>Accident deduction ended (ADD: $6.84) effective 5/31/2024 12:00:00 AM</t>
  </si>
  <si>
    <t>Termination effective 05/31/2024 and coverage ended received from ADP Workforce NowÂ®</t>
  </si>
  <si>
    <t>Termination effective 05/31/2024 received from ADP Workforce NowÂ®</t>
  </si>
  <si>
    <t>Critical Illness - Voluntary Critical Illness</t>
  </si>
  <si>
    <t>Medical - Surest $0 Deductible PPO 2024 (HMO-like Option)</t>
  </si>
  <si>
    <t>Dependent</t>
  </si>
  <si>
    <t>CreatedBy</t>
  </si>
  <si>
    <t>EN</t>
  </si>
  <si>
    <t>ParentId</t>
  </si>
  <si>
    <t>ParentDate</t>
  </si>
  <si>
    <t>2024-06-11T21:45:03</t>
  </si>
  <si>
    <t>2024-06-11T21:44:51</t>
  </si>
  <si>
    <t>HasChanges</t>
  </si>
  <si>
    <t>Section: EmployeeDataSheet_DependentEnrollments</t>
  </si>
  <si>
    <t>DPE ID</t>
  </si>
  <si>
    <t>Dependent Name</t>
  </si>
  <si>
    <t>Leoqwertyuiopasdfghjklasdsad Burkeqwertyuiopasdfghjklasdsad</t>
  </si>
  <si>
    <t>TestA Burke</t>
  </si>
  <si>
    <t>TestB Burke</t>
  </si>
  <si>
    <t>TESTC Burke</t>
  </si>
  <si>
    <t>TESTD Burke</t>
  </si>
  <si>
    <t>TESTF Burke</t>
  </si>
  <si>
    <t>TESTG Burke</t>
  </si>
  <si>
    <t>TESTH Burke</t>
  </si>
  <si>
    <t>TESTI Burke</t>
  </si>
  <si>
    <t>TESTJ Burke</t>
  </si>
  <si>
    <t>TESTK Burke</t>
  </si>
  <si>
    <t>TESTL Burke</t>
  </si>
  <si>
    <t>TESTM Burke</t>
  </si>
  <si>
    <t>TESTN Burke</t>
  </si>
  <si>
    <t>Active Enrollment</t>
  </si>
  <si>
    <t>802.75</t>
  </si>
  <si>
    <t>1458.99</t>
  </si>
  <si>
    <t>2261.74</t>
  </si>
  <si>
    <t>Covg Start Date</t>
  </si>
  <si>
    <t>06/01/2024</t>
  </si>
  <si>
    <t>Original Start Date</t>
  </si>
  <si>
    <t>07/01/2023</t>
  </si>
  <si>
    <t>06/20/2023</t>
  </si>
  <si>
    <t>06/21/2023</t>
  </si>
  <si>
    <t>Last updated By</t>
  </si>
  <si>
    <t>Section: Reports_PrimaryCarePhysicians</t>
  </si>
  <si>
    <t>Dependent First Name</t>
  </si>
  <si>
    <t>Dependent Last Name</t>
  </si>
  <si>
    <t>Dependent SSN</t>
  </si>
  <si>
    <t>PCP ID</t>
  </si>
  <si>
    <t>PCP Type</t>
  </si>
  <si>
    <t>PCP Name</t>
  </si>
  <si>
    <t>PCP City</t>
  </si>
  <si>
    <t>PCP State</t>
  </si>
  <si>
    <t>Current Patient</t>
  </si>
  <si>
    <t>General Rule</t>
  </si>
  <si>
    <t>1. Border</t>
  </si>
  <si>
    <t>Single line, White, Background 1, Darker 35%</t>
  </si>
  <si>
    <t>2. Title</t>
  </si>
  <si>
    <t>Bold</t>
  </si>
  <si>
    <t>3. Alignment</t>
  </si>
  <si>
    <t>Middle Align, Center</t>
  </si>
  <si>
    <t>Section 1</t>
  </si>
  <si>
    <t>1. Fill Color</t>
  </si>
  <si>
    <t>IFN Area in Row 1</t>
  </si>
  <si>
    <t>Gold, Accent 4, Lighter 80%</t>
  </si>
  <si>
    <t>OFN Area in Row 1</t>
  </si>
  <si>
    <t>Green, Accent 6, Lighter 80%</t>
  </si>
  <si>
    <t>Input by SDU</t>
  </si>
  <si>
    <t>Blue, Accent 1</t>
  </si>
  <si>
    <t>Input by Developer / OpEx</t>
  </si>
  <si>
    <t>Blue, Accent 5, Lighter 80%</t>
  </si>
  <si>
    <t>Alert in Column C</t>
  </si>
  <si>
    <t>RGB: 255, 221, 221</t>
  </si>
  <si>
    <t>2. Column Width</t>
  </si>
  <si>
    <t>IFN</t>
  </si>
  <si>
    <t>OFN</t>
  </si>
  <si>
    <t>Same IFN Invoked More Than One Time?</t>
  </si>
  <si>
    <t>EN Page</t>
  </si>
  <si>
    <t>Tab in UI</t>
  </si>
  <si>
    <t>Section in UI</t>
  </si>
  <si>
    <t>Rest Columns</t>
  </si>
  <si>
    <t>Automatically Fit</t>
  </si>
  <si>
    <t>Section 2</t>
  </si>
  <si>
    <t>All</t>
  </si>
  <si>
    <t>Section 3</t>
  </si>
  <si>
    <t>Title</t>
  </si>
  <si>
    <t>Section 4</t>
  </si>
  <si>
    <t>Column A</t>
  </si>
  <si>
    <t>Column B</t>
  </si>
  <si>
    <t>Section 5</t>
  </si>
  <si>
    <t>Alert</t>
  </si>
  <si>
    <t>Dup IFN Name Alert</t>
  </si>
  <si>
    <t>Dep Related Field?</t>
  </si>
  <si>
    <t>Placeholder</t>
  </si>
  <si>
    <t>Field Width</t>
  </si>
  <si>
    <t>Read Only</t>
  </si>
  <si>
    <t>Data-MaxLength - Alert</t>
  </si>
  <si>
    <t>Data-MaxLength - Reminder</t>
  </si>
  <si>
    <t>RequiredField</t>
  </si>
  <si>
    <t>Date Format</t>
  </si>
  <si>
    <t>Text Cleaning Rule</t>
  </si>
  <si>
    <t>Text Split Start Position</t>
  </si>
  <si>
    <t>Text Split End Position</t>
  </si>
  <si>
    <t>Text Capitalization Rule</t>
  </si>
  <si>
    <t>Action Group</t>
  </si>
  <si>
    <t>Action ID</t>
  </si>
  <si>
    <t>Wall Notification</t>
  </si>
  <si>
    <t>Y</t>
  </si>
  <si>
    <t>select</t>
  </si>
  <si>
    <t>Group Search</t>
  </si>
  <si>
    <t>Blue Access for Employers Account Search</t>
  </si>
  <si>
    <t>Account #:</t>
  </si>
  <si>
    <t>text</t>
  </si>
  <si>
    <t>A_BCBSIL_P1_1</t>
  </si>
  <si>
    <t>Account Name:</t>
  </si>
  <si>
    <t>Keep Letters &amp; Numbers &amp; Spaces</t>
  </si>
  <si>
    <t>All Capitalize</t>
  </si>
  <si>
    <t>Employee Maintenance</t>
  </si>
  <si>
    <t>Find an Employee/Dependent</t>
  </si>
  <si>
    <t>Find an Employee/Dependent (Employee)</t>
  </si>
  <si>
    <t>checkbox</t>
  </si>
  <si>
    <t xml:space="preserve"> </t>
  </si>
  <si>
    <t>Initial Capitalize</t>
  </si>
  <si>
    <t>Find an Employee/Dependent (Dependent)</t>
  </si>
  <si>
    <t>Profile - Profile</t>
  </si>
  <si>
    <t>###-##-####</t>
  </si>
  <si>
    <t>SSN or ID Number</t>
  </si>
  <si>
    <t>A_BCBSIL_P2_1</t>
  </si>
  <si>
    <t>20</t>
  </si>
  <si>
    <t>Last Name:</t>
  </si>
  <si>
    <t>Keep Letters Only</t>
  </si>
  <si>
    <t>A_BCBSIL_P2_2</t>
  </si>
  <si>
    <t>First Name:</t>
  </si>
  <si>
    <t>A_BCBSIL_P2_3</t>
  </si>
  <si>
    <t>Enrollment Start Date - Medical</t>
  </si>
  <si>
    <t>date</t>
  </si>
  <si>
    <t>MM/DD/YYYY</t>
  </si>
  <si>
    <t>General Info</t>
  </si>
  <si>
    <t>Application Information</t>
  </si>
  <si>
    <t>Effective Date:(MM)</t>
  </si>
  <si>
    <t>MM</t>
  </si>
  <si>
    <t>A_BCBSIL_P3_3</t>
  </si>
  <si>
    <t>Benefit Summary</t>
  </si>
  <si>
    <t>Enrollment Start Date - Dental</t>
  </si>
  <si>
    <t>Effective Date:(DD)</t>
  </si>
  <si>
    <t>DD</t>
  </si>
  <si>
    <t>A_BCBSIL_P3_4</t>
  </si>
  <si>
    <t>Effective Date:(YYYY)</t>
  </si>
  <si>
    <t>YYYY</t>
  </si>
  <si>
    <t>A_BCBSIL_P3_7</t>
  </si>
  <si>
    <t>Type of Enrollment:</t>
  </si>
  <si>
    <t>A_BCBSIL_P3_1</t>
  </si>
  <si>
    <t>TimeLine</t>
  </si>
  <si>
    <t>Reason for Enrollment:</t>
  </si>
  <si>
    <t>A_BCBSIL_P3_2</t>
  </si>
  <si>
    <t>HIPPA Certification:(Yes)</t>
  </si>
  <si>
    <t>A_BCBSIL_P3_5</t>
  </si>
  <si>
    <t>HIPPA Certification:(No)</t>
  </si>
  <si>
    <t>A_BCBSIL_P3_6</t>
  </si>
  <si>
    <t>Other Insurance:</t>
  </si>
  <si>
    <t>A_BCBSIL_P12_10</t>
  </si>
  <si>
    <t>Timeline</t>
  </si>
  <si>
    <t>Signature Date:(MM)</t>
  </si>
  <si>
    <t>A_BCBSIL_P3_8</t>
  </si>
  <si>
    <t>Signature Date:(DD)</t>
  </si>
  <si>
    <t>A_BCBSIL_P3_9</t>
  </si>
  <si>
    <t>Signature Date:(YYYY)</t>
  </si>
  <si>
    <t>A_BCBSIL_P3_10</t>
  </si>
  <si>
    <t>Employee Information</t>
  </si>
  <si>
    <t>Prefix:</t>
  </si>
  <si>
    <t>A_BCBSIL_P3_11</t>
  </si>
  <si>
    <t>First: (20 Digits)</t>
  </si>
  <si>
    <t>A_BCBSIL_P3_12</t>
  </si>
  <si>
    <t>MI:</t>
  </si>
  <si>
    <t>A_BCBSIL_P3_13</t>
  </si>
  <si>
    <t>Last:(20 Digits)</t>
  </si>
  <si>
    <t>A_BCBSIL_P3_14</t>
  </si>
  <si>
    <t>Suffix:(3 Digits)</t>
  </si>
  <si>
    <t>A_BCBSIL_P3_15</t>
  </si>
  <si>
    <t>Profile - Personal</t>
  </si>
  <si>
    <t>-Select-</t>
  </si>
  <si>
    <t>Gender:</t>
  </si>
  <si>
    <t>A_BCBSIL_P3_16</t>
  </si>
  <si>
    <t>SSN:(3 Digits)</t>
  </si>
  <si>
    <t>A_BCBSIL_P3_17</t>
  </si>
  <si>
    <t>SSN:(2 Digits)</t>
  </si>
  <si>
    <t>A_BCBSIL_P3_18</t>
  </si>
  <si>
    <t>SSN:(4 Digits)</t>
  </si>
  <si>
    <t>A_BCBSIL_P3_19</t>
  </si>
  <si>
    <t>Date of Birth:(MM)</t>
  </si>
  <si>
    <t>A_BCBSIL_P3_20</t>
  </si>
  <si>
    <t>Date of Birth:(DD)</t>
  </si>
  <si>
    <t>A_BCBSIL_P3_21</t>
  </si>
  <si>
    <t>Date of Birth:(YYYY)</t>
  </si>
  <si>
    <t>A_BCBSIL_P3_22</t>
  </si>
  <si>
    <t>Marital Status:</t>
  </si>
  <si>
    <t>A_BCBSIL_P3_23</t>
  </si>
  <si>
    <t>Profile - Employment</t>
  </si>
  <si>
    <t>Hire Date:(MM)</t>
  </si>
  <si>
    <t>A_BCBSIL_P3_24</t>
  </si>
  <si>
    <t>Hire Date:(DD)</t>
  </si>
  <si>
    <t>A_BCBSIL_P3_25</t>
  </si>
  <si>
    <t>Hire Date:(YYYY)</t>
  </si>
  <si>
    <t>A_BCBSIL_P3_26</t>
  </si>
  <si>
    <t>Status:</t>
  </si>
  <si>
    <t>Medicare Eligibility:</t>
  </si>
  <si>
    <t>Native Language:</t>
  </si>
  <si>
    <t>A_BCBSIL_P10_14</t>
  </si>
  <si>
    <t>Preferred Written Language:</t>
  </si>
  <si>
    <t>A_BCBSIL_P10_15</t>
  </si>
  <si>
    <t>Preferred Spoken Language:</t>
  </si>
  <si>
    <t>A_BCBSIL_P10_16</t>
  </si>
  <si>
    <t>Ethnicity (select all that apply):(Hispanic or Latino)</t>
  </si>
  <si>
    <t>A_BCBSIL_P10_17</t>
  </si>
  <si>
    <t>Ethnicity (select all that apply):(Not Hispanic or Latino)</t>
  </si>
  <si>
    <t>A_BCBSIL_P10_18</t>
  </si>
  <si>
    <t>Ethnicity (select all that apply):(Unknown)</t>
  </si>
  <si>
    <t>A_BCBSIL_P10_19</t>
  </si>
  <si>
    <t>Race (select all that apply):(American Indian or Alaska Native)</t>
  </si>
  <si>
    <t>A_BCBSIL_P10_20</t>
  </si>
  <si>
    <t>Race (select all that apply):(Asian)</t>
  </si>
  <si>
    <t>A_BCBSIL_P10_21</t>
  </si>
  <si>
    <t>Race (select all that apply):(Black or African American)</t>
  </si>
  <si>
    <t>A_BCBSIL_P10_22</t>
  </si>
  <si>
    <t>Race (select all that apply):(Native Hawaiian or Other Pacific Islander)</t>
  </si>
  <si>
    <t>A_BCBSIL_P10_23</t>
  </si>
  <si>
    <t>Race (select all that apply):(White)</t>
  </si>
  <si>
    <t>A_BCBSIL_P10_24</t>
  </si>
  <si>
    <t>Race (select all that apply):(Other Race)</t>
  </si>
  <si>
    <t>A_BCBSIL_P10_25</t>
  </si>
  <si>
    <t>Race (select all that apply):(Preferred not to answer)</t>
  </si>
  <si>
    <t>A_BCBSIL_P10_26</t>
  </si>
  <si>
    <t>Race (select all that apply):(Unknown)</t>
  </si>
  <si>
    <t>A_BCBSIL_P10_27</t>
  </si>
  <si>
    <t>Profile - Address</t>
  </si>
  <si>
    <t>Address Information</t>
  </si>
  <si>
    <t>Country Type:</t>
  </si>
  <si>
    <t>A_BCBSIL_P11_6</t>
  </si>
  <si>
    <t>Country - Home</t>
  </si>
  <si>
    <t>In care of:</t>
  </si>
  <si>
    <t>A_BCBSIL_P11_7</t>
  </si>
  <si>
    <t>Street 1: (25 Digits)</t>
  </si>
  <si>
    <t>A_BCBSIL_P3_27</t>
  </si>
  <si>
    <t>Address1 - Home</t>
  </si>
  <si>
    <t>Address2 - Home</t>
  </si>
  <si>
    <t>Street 2:(25 Digits)</t>
  </si>
  <si>
    <t>A_BCBSIL_P3_28</t>
  </si>
  <si>
    <t>City - Home</t>
  </si>
  <si>
    <t>City: (25 digits)</t>
  </si>
  <si>
    <t>A_BCBSIL_P3_29</t>
  </si>
  <si>
    <t>State - Home</t>
  </si>
  <si>
    <t>State:</t>
  </si>
  <si>
    <t>A_BCBSIL_P3_30</t>
  </si>
  <si>
    <t>Zip - Home</t>
  </si>
  <si>
    <t>Zip Code: (5 or 9 Digits)</t>
  </si>
  <si>
    <t>A_BCBSIL_P3_31</t>
  </si>
  <si>
    <t>Profile - Contact</t>
  </si>
  <si>
    <t>(###)###-####</t>
  </si>
  <si>
    <t>Contact Information</t>
  </si>
  <si>
    <t>Home: (3 Digits) - First 3</t>
  </si>
  <si>
    <t>A_BCBSIL_P3_32</t>
  </si>
  <si>
    <t>Home: (3 Digits) - Middle 3</t>
  </si>
  <si>
    <t>A_BCBSIL_P3_33</t>
  </si>
  <si>
    <t>Home: (4 Digits) - Last 4</t>
  </si>
  <si>
    <t>A_BCBSIL_P3_34</t>
  </si>
  <si>
    <t>Mobile: (3 Digits) - First 3</t>
  </si>
  <si>
    <t>A_BCBSIL_P3_35</t>
  </si>
  <si>
    <t>Mobile: (3 Digits) - Middle 3</t>
  </si>
  <si>
    <t>A_BCBSIL_P3_36</t>
  </si>
  <si>
    <t>Mobile: (4 Digits) - Last 4</t>
  </si>
  <si>
    <t>A_BCBSIL_P3_37</t>
  </si>
  <si>
    <t>Business: (3 Digits) - First 3</t>
  </si>
  <si>
    <t>Business: (3 Digits) - Middle 3</t>
  </si>
  <si>
    <t>Business: (4 Digits) - Last 4</t>
  </si>
  <si>
    <t>Ext: (5 Digits)</t>
  </si>
  <si>
    <t>Fax: (3 Digits) - First 3</t>
  </si>
  <si>
    <t>Fax: (3 Digits) - Middle 3</t>
  </si>
  <si>
    <t>Fax: (4 Digits) - Last 4</t>
  </si>
  <si>
    <t>Email: (50 Digits)</t>
  </si>
  <si>
    <t>email</t>
  </si>
  <si>
    <t>A_BCBSIL_P3_38</t>
  </si>
  <si>
    <t>Employee Info</t>
  </si>
  <si>
    <t>Characteristics</t>
  </si>
  <si>
    <t>CMS Employee Status Code:</t>
  </si>
  <si>
    <t>A_BCBSIL_P4_1</t>
  </si>
  <si>
    <t>*Actively Employed:</t>
  </si>
  <si>
    <t>Sub CDHP Elections:</t>
  </si>
  <si>
    <t>A_BCBSIL_P4_2</t>
  </si>
  <si>
    <t>Categories</t>
  </si>
  <si>
    <t>*This employee will be billed with all other employees with this criteria:</t>
  </si>
  <si>
    <t>A_BCBSIL_P4_3</t>
  </si>
  <si>
    <t>Plan Name - Medical</t>
  </si>
  <si>
    <t>Coverage Info</t>
  </si>
  <si>
    <t>Health Benefit</t>
  </si>
  <si>
    <t>*Product Type:(Medical)</t>
  </si>
  <si>
    <t>A_BCBSIL_P5_1</t>
  </si>
  <si>
    <t>*Product:(Medical)</t>
  </si>
  <si>
    <t>A_BCBSIL_P5_2</t>
  </si>
  <si>
    <t>Coverage Level - Medical</t>
  </si>
  <si>
    <t>*Will this employee be covering their spouse and/or dependents? (Yes)(Medical)</t>
  </si>
  <si>
    <t>A_BCBSIL_P5_3</t>
  </si>
  <si>
    <t>*Will this employee be covering their spouse and/or dependents?(No)(Medical)</t>
  </si>
  <si>
    <t>A_BCBSIL_P5_4</t>
  </si>
  <si>
    <t>Primary Provider</t>
  </si>
  <si>
    <t>*Medical Group: (Primary Provider section)</t>
  </si>
  <si>
    <t>Provider Number: (Primary Provider section)</t>
  </si>
  <si>
    <t>*Is your employee an existing patient with this PCP? (Primary Provider section) (Yes)</t>
  </si>
  <si>
    <t>*Is your employee an existing patient with this PCP? (Primary Provider section) (No)</t>
  </si>
  <si>
    <t>WPHCP Provider</t>
  </si>
  <si>
    <t>Provider Number: (WPHCP Provider section)</t>
  </si>
  <si>
    <t>*Is your employee an existing patient with this PCP? (WPHCP Provider section) (Yes)</t>
  </si>
  <si>
    <t>*Is your employee an existing patient with this PCP? (WPHCP Provider section) (No)</t>
  </si>
  <si>
    <t>Plan Name - Dental</t>
  </si>
  <si>
    <t>Dental Benefit</t>
  </si>
  <si>
    <t>*Product Type:(Dental)</t>
  </si>
  <si>
    <t>A_BCBSIL_P5_7</t>
  </si>
  <si>
    <t>*Product: (Dental)</t>
  </si>
  <si>
    <t>A_BCBSIL_P5_8</t>
  </si>
  <si>
    <t>Coverage Level - Dental</t>
  </si>
  <si>
    <t>*Will this employee be covering their spouse and/or dependents? (Yes)(Dental)</t>
  </si>
  <si>
    <t>A_BCBSIL_P5_9</t>
  </si>
  <si>
    <t>*Will this employee be covering their spouse and/or dependents?(No)(Dental)</t>
  </si>
  <si>
    <t>A_BCBSIL_P5_10</t>
  </si>
  <si>
    <t>*Dental Clinic Number:</t>
  </si>
  <si>
    <t>Prior Coverage</t>
  </si>
  <si>
    <t>Group Number: (Prior Coverage section)</t>
  </si>
  <si>
    <t>Employee ID Number: (Prior Coverage section)</t>
  </si>
  <si>
    <t>N/A - Different judgment criteria and processes from SDU real process to get IFV</t>
  </si>
  <si>
    <t>Last Name - Dependent</t>
  </si>
  <si>
    <t>Dependents</t>
  </si>
  <si>
    <t>Last:(20 Digits) - Dependent</t>
  </si>
  <si>
    <t>A_BCBSIL_P6_1;A_BCBSIL_P6_18;A_BCBSIL_P6_31;A_BCBSIL_P6_44;A_BCBSIL_P6_57;A_BCBSIL_P6_71;A_BCBSIL_P6_85;A_BCBSIL_P6_99;A_BCBSIL_P6_113;A_BCBSIL_P6_127;A_BCBSIL_P6_141;A_BCBSIL_P6_155;A_BCBSIL_P6_169;A_BCBSIL_P6_183;A_BCBSIL_P6_197</t>
  </si>
  <si>
    <t>Dependent ID</t>
  </si>
  <si>
    <t>Plan Name - Medical - Dependent</t>
  </si>
  <si>
    <t>Plan Name - Dental - Dependent</t>
  </si>
  <si>
    <t>Suffix:(3 Digits) - Dependent</t>
  </si>
  <si>
    <t>A_BCBSIL_P6_2;A_BCBSIL_P6_19;A_BCBSIL_P6_32;A_BCBSIL_P6_45;A_BCBSIL_P6_58;A_BCBSIL_P6_72;A_BCBSIL_P6_86;A_BCBSIL_P6_100;A_BCBSIL_P6_114;A_BCBSIL_P6_128;A_BCBSIL_P6_142;A_BCBSIL_P6_156;A_BCBSIL_P6_170;A_BCBSIL_P6_184;A_BCBSIL_P6_198</t>
  </si>
  <si>
    <t>First Name - Dependent</t>
  </si>
  <si>
    <t>First: (20 Digits) - Dependent</t>
  </si>
  <si>
    <t>A_BCBSIL_P6_3;A_BCBSIL_P6_20;A_BCBSIL_P6_33;A_BCBSIL_P6_46;A_BCBSIL_P6_59;A_BCBSIL_P6_73;A_BCBSIL_P6_87;A_BCBSIL_P6_101;A_BCBSIL_P6_115;A_BCBSIL_P6_129;A_BCBSIL_P6_143;A_BCBSIL_P6_157;A_BCBSIL_P6_171;A_BCBSIL_P6_185;A_BCBSIL_P6_199</t>
  </si>
  <si>
    <t>Middle - Dependent</t>
  </si>
  <si>
    <t>MI: - Dependent</t>
  </si>
  <si>
    <t>A_BCBSIL_P6_4;A_BCBSIL_P6_21;A_BCBSIL_P6_34;A_BCBSIL_P6_47;A_BCBSIL_P6_60;A_BCBSIL_P6_74;A_BCBSIL_P6_88;A_BCBSIL_P6_102;A_BCBSIL_P6_116;A_BCBSIL_P6_130;A_BCBSIL_P6_144;A_BCBSIL_P6_158;A_BCBSIL_P6_172;A_BCBSIL_P6_186;A_BCBSIL_P6_200</t>
  </si>
  <si>
    <t>Relationship - Dependent</t>
  </si>
  <si>
    <t>Relation:</t>
  </si>
  <si>
    <t>A_BCBSIL_P6_5;A_BCBSIL_P6_22;A_BCBSIL_P6_35;A_BCBSIL_P6_48;A_BCBSIL_P6_61;A_BCBSIL_P6_75;A_BCBSIL_P6_89;A_BCBSIL_P6_103;A_BCBSIL_P6_117;A_BCBSIL_P6_131;A_BCBSIL_P6_145;A_BCBSIL_P6_159;A_BCBSIL_P6_173;A_BCBSIL_P6_187;A_BCBSIL_P6_201</t>
  </si>
  <si>
    <t>Student - Dependent</t>
  </si>
  <si>
    <t>Disabled - Dependent</t>
  </si>
  <si>
    <t>Gender - Dependent</t>
  </si>
  <si>
    <t>Gender: - Dependent</t>
  </si>
  <si>
    <t>A_BCBSIL_P6_6;A_BCBSIL_P6_23;A_BCBSIL_P6_36;A_BCBSIL_P6_49;A_BCBSIL_P6_62;A_BCBSIL_P6_76;A_BCBSIL_P6_90;A_BCBSIL_P6_104;A_BCBSIL_P6_118;A_BCBSIL_P6_132;A_BCBSIL_P6_146;A_BCBSIL_P6_160;A_BCBSIL_P6_174;A_BCBSIL_P6_188;A_BCBSIL_P6_202</t>
  </si>
  <si>
    <t>Other Dependent:</t>
  </si>
  <si>
    <t>A_BCBSIL_P6_7;A_BCBSIL_P6_24;A_BCBSIL_P6_37;A_BCBSIL_P6_50;A_BCBSIL_P6_63;A_BCBSIL_P6_77;A_BCBSIL_P6_91;A_BCBSIL_P6_105;A_BCBSIL_P6_119;A_BCBSIL_P6_133;A_BCBSIL_P6_147;A_BCBSIL_P6_161;A_BCBSIL_P6_175;A_BCBSIL_P6_189;A_BCBSIL_P6_203</t>
  </si>
  <si>
    <t>DOB - Dependent</t>
  </si>
  <si>
    <t>Date</t>
  </si>
  <si>
    <t>DOB:(MM)</t>
  </si>
  <si>
    <t>A_BCBSIL_P6_8;A_BCBSIL_P6_25;A_BCBSIL_P6_38;A_BCBSIL_P6_51;A_BCBSIL_P6_64;A_BCBSIL_P6_78;A_BCBSIL_P6_92;A_BCBSIL_P6_106;A_BCBSIL_P6_120;A_BCBSIL_P6_134;A_BCBSIL_P6_148;A_BCBSIL_P6_162;A_BCBSIL_P6_176;A_BCBSIL_P6_190;A_BCBSIL_P6_204</t>
  </si>
  <si>
    <t>DOB:(DD)</t>
  </si>
  <si>
    <t>A_BCBSIL_P6_9;A_BCBSIL_P6_26;A_BCBSIL_P6_39;A_BCBSIL_P6_52;A_BCBSIL_P6_65;A_BCBSIL_P6_79;A_BCBSIL_P6_93;A_BCBSIL_P6_107;A_BCBSIL_P6_121;A_BCBSIL_P6_135;A_BCBSIL_P6_149;A_BCBSIL_P6_163;A_BCBSIL_P6_177;A_BCBSIL_P6_191;A_BCBSIL_P6_205</t>
  </si>
  <si>
    <t>DOB:(YYYY)</t>
  </si>
  <si>
    <t>A_BCBSIL_P6_10;A_BCBSIL_P6_27;A_BCBSIL_P6_40;A_BCBSIL_P6_53;A_BCBSIL_P6_66;A_BCBSIL_P6_80;A_BCBSIL_P6_94;A_BCBSIL_P6_108;A_BCBSIL_P6_122;A_BCBSIL_P6_136;A_BCBSIL_P6_150;A_BCBSIL_P6_164;A_BCBSIL_P6_178;A_BCBSIL_P6_192;A_BCBSIL_P6_206</t>
  </si>
  <si>
    <t>SSN - Dependent</t>
  </si>
  <si>
    <t>SSN:(3 Digits) - Dependent</t>
  </si>
  <si>
    <t>A_BCBSIL_P6_11;A_BCBSIL_P6_28;A_BCBSIL_P6_41;A_BCBSIL_P6_54;A_BCBSIL_P6_67;A_BCBSIL_P6_81;A_BCBSIL_P6_95;A_BCBSIL_P6_109;A_BCBSIL_P6_123;A_BCBSIL_P6_137;A_BCBSIL_P6_151;A_BCBSIL_P6_165;A_BCBSIL_P6_179;A_BCBSIL_P6_193;A_BCBSIL_P6_207</t>
  </si>
  <si>
    <t>SSN:(2 Digits) - Dependent</t>
  </si>
  <si>
    <t>A_BCBSIL_P6_12;A_BCBSIL_P6_29;A_BCBSIL_P6_42;A_BCBSIL_P6_55;A_BCBSIL_P6_68;A_BCBSIL_P6_82;A_BCBSIL_P6_96;A_BCBSIL_P6_110;A_BCBSIL_P6_124;A_BCBSIL_P6_138;A_BCBSIL_P6_152;A_BCBSIL_P6_166;A_BCBSIL_P6_180;A_BCBSIL_P6_194;A_BCBSIL_P6_208</t>
  </si>
  <si>
    <t>SSN:(4 Digits) - Dependent</t>
  </si>
  <si>
    <t>A_BCBSIL_P6_13;A_BCBSIL_P6_30;A_BCBSIL_P6_43;A_BCBSIL_P6_56;A_BCBSIL_P6_69;A_BCBSIL_P6_83;A_BCBSIL_P6_97;A_BCBSIL_P6_111;A_BCBSIL_P6_125;A_BCBSIL_P6_139;A_BCBSIL_P6_153;A_BCBSIL_P6_167;A_BCBSIL_P6_181;A_BCBSIL_P6_195;A_BCBSIL_P6_209</t>
  </si>
  <si>
    <t>Multiple Birth:</t>
  </si>
  <si>
    <t>A_BCBSIL_P13_14;A_BCBSIL_P13_42;A_BCBSIL_P13_70;A_BCBSIL_P13_98;A_BCBSIL_P13_126;A_BCBSIL_P13_155;A_BCBSIL_P13_184;A_BCBSIL_P13_213;A_BCBSIL_P13_242;A_BCBSIL_P13_271;A_BCBSIL_P13_300;A_BCBSIL_P13_329;A_BCBSIL_P13_358;A_BCBSIL_P13_387;A_BCBSIL_P13_416</t>
  </si>
  <si>
    <t>Native Language: - Dependent</t>
  </si>
  <si>
    <t>Preferred Written Language: - Dependent</t>
  </si>
  <si>
    <t>Preferred Spoken Language: - Dependent</t>
  </si>
  <si>
    <t>Ethnicity (select all that apply):(Hispanic or Latino) - Dependent</t>
  </si>
  <si>
    <t>Ethnicity (select all that apply):(Not Hispanic or Latino) - Dependent</t>
  </si>
  <si>
    <t>Ethnicity (select all that apply):(Unknown) - Dependent</t>
  </si>
  <si>
    <t>Race (select all that apply):(American Indian or Alaska Native) - Dependent</t>
  </si>
  <si>
    <t>Race (select all that apply):(Asian) - Dependent</t>
  </si>
  <si>
    <t>Race (select all that apply):(Black or African American) - Dependent</t>
  </si>
  <si>
    <t>Race (select all that apply):(Native Hawaiian or Other Pacific Islander) - Dependent</t>
  </si>
  <si>
    <t>Race (select all that apply):(White) - Dependent</t>
  </si>
  <si>
    <t>Race (select all that apply):(Other Race) - Dependent</t>
  </si>
  <si>
    <t>Race (select all that apply):(Preferred not to answer) - Dependent</t>
  </si>
  <si>
    <t>Race (select all that apply):(Unknown) - Dependent</t>
  </si>
  <si>
    <t>Additional Dependent Information</t>
  </si>
  <si>
    <t>Do any dependents have: Different Provider than the Employee (Yes)</t>
  </si>
  <si>
    <t>Do any dependents have: Different Provider than the Employee (No)</t>
  </si>
  <si>
    <t>Medicare Eligible Dependent</t>
  </si>
  <si>
    <t>Do any dependents have: Medicare information? (Yes)</t>
  </si>
  <si>
    <t>A_BCBSIL_P6_210</t>
  </si>
  <si>
    <t>Do any dependents have: Medicare information? (No)</t>
  </si>
  <si>
    <t>A_BCBSIL_P6_211</t>
  </si>
  <si>
    <t>Address1 - Dependent</t>
  </si>
  <si>
    <t>Do any dependents have: Different address information than the employee? (Yes)</t>
  </si>
  <si>
    <t>A_BCBSIL_P6_212</t>
  </si>
  <si>
    <t>Address2 - Dependent</t>
  </si>
  <si>
    <t>Do any dependents have: Different address information than the employee? (No)</t>
  </si>
  <si>
    <t>A_BCBSIL_P6_213</t>
  </si>
  <si>
    <t>Medicare</t>
  </si>
  <si>
    <t>Medicare Information</t>
  </si>
  <si>
    <t>Does this employee or any of their dependent(s) have prior creditable coverage?</t>
  </si>
  <si>
    <t>&lt;Value&gt;</t>
  </si>
  <si>
    <t>Formula Generated Unique IFN</t>
  </si>
  <si>
    <t>IFN Appear in Column C?</t>
  </si>
  <si>
    <t>Section Name</t>
  </si>
  <si>
    <t>Sub-Section Name</t>
  </si>
  <si>
    <t>Data in EN Name</t>
  </si>
  <si>
    <t xml:space="preserve">Plan Name </t>
  </si>
  <si>
    <t xml:space="preserve">Coverage </t>
  </si>
  <si>
    <t>0001 - All Others</t>
  </si>
  <si>
    <t>Chinese</t>
  </si>
  <si>
    <t>0002 - RedSpeed GA</t>
  </si>
  <si>
    <t>Initial</t>
  </si>
  <si>
    <t xml:space="preserve">Unknown </t>
  </si>
  <si>
    <t>English</t>
  </si>
  <si>
    <t>A - Active</t>
  </si>
  <si>
    <t>Adoption</t>
  </si>
  <si>
    <t>Birth</t>
  </si>
  <si>
    <t>Court Order</t>
  </si>
  <si>
    <t>Discontinuance &amp; Replacement</t>
  </si>
  <si>
    <t>Job Status Change</t>
  </si>
  <si>
    <t>Legal Guardianship</t>
  </si>
  <si>
    <t>Loss Of Eligibility For Other Coverage</t>
  </si>
  <si>
    <t>Marriage</t>
  </si>
  <si>
    <t>New Applicant</t>
  </si>
  <si>
    <t>Originally Declined Coverage</t>
  </si>
  <si>
    <t>Placement For Adoption</t>
  </si>
  <si>
    <t>Previously Denied Coverage</t>
  </si>
  <si>
    <t>Retiree</t>
  </si>
  <si>
    <t>Surviving Spouse</t>
  </si>
  <si>
    <t>Transfer Business Location</t>
  </si>
  <si>
    <t>50000Feet Inc</t>
  </si>
  <si>
    <t>Aetna Building Solutions Inc</t>
  </si>
  <si>
    <t xml:space="preserve"> 088306</t>
  </si>
  <si>
    <t>Alan D. Lasko &amp; Associates</t>
  </si>
  <si>
    <t>Allium Partners</t>
  </si>
  <si>
    <t>American Street Capital</t>
  </si>
  <si>
    <t>BFC Forms Service, Inc.</t>
  </si>
  <si>
    <t>Bright Light Medical Imaging</t>
  </si>
  <si>
    <t>Charlie Greene Studio</t>
  </si>
  <si>
    <t xml:space="preserve"> 005134</t>
  </si>
  <si>
    <t>Chesley,Taft &amp; Associates LLC</t>
  </si>
  <si>
    <t>Chicago Nasal&amp;Sinus Center</t>
  </si>
  <si>
    <t xml:space="preserve"> 002248</t>
  </si>
  <si>
    <t>Child Care Resource &amp; Referral</t>
  </si>
  <si>
    <t>City of Hometown</t>
  </si>
  <si>
    <t>City of Marshall</t>
  </si>
  <si>
    <t>City of Staunton</t>
  </si>
  <si>
    <t>Create (USA), Inc.</t>
  </si>
  <si>
    <t>Current Technologies</t>
  </si>
  <si>
    <t>Cyclone Group</t>
  </si>
  <si>
    <t>DCS Mechanical, Inc.</t>
  </si>
  <si>
    <t>DeKane Equipment</t>
  </si>
  <si>
    <t>Dimerco Express</t>
  </si>
  <si>
    <t>DuPage Housing Authority</t>
  </si>
  <si>
    <t>Eugene L Griffin &amp; Assoc Ltd</t>
  </si>
  <si>
    <t>Exegistics</t>
  </si>
  <si>
    <t>Financial Reporting</t>
  </si>
  <si>
    <t>Four Four Design</t>
  </si>
  <si>
    <t>Frank Lloyd Wright Trust</t>
  </si>
  <si>
    <t>Global Contract</t>
  </si>
  <si>
    <t>Great Northern Corporation</t>
  </si>
  <si>
    <t>Greater Metro (Area) Housing Authority</t>
  </si>
  <si>
    <t>Grundy County Housing Authority</t>
  </si>
  <si>
    <t>HCP Financial &amp; Management Services</t>
  </si>
  <si>
    <t>Hitchcock Design</t>
  </si>
  <si>
    <t>Huston&amp;May</t>
  </si>
  <si>
    <t>International Carwash Association</t>
  </si>
  <si>
    <t>Kenway Consulting</t>
  </si>
  <si>
    <t>Kinnick Medical</t>
  </si>
  <si>
    <t>Kirkegaard</t>
  </si>
  <si>
    <t>Knox County Housing Authority</t>
  </si>
  <si>
    <t>Lake in the Hills</t>
  </si>
  <si>
    <t>Leukemia Research Foundation</t>
  </si>
  <si>
    <t>Lever Interactive</t>
  </si>
  <si>
    <t>Libra Industries, Inc.</t>
  </si>
  <si>
    <t>LLT Group, Inc.</t>
  </si>
  <si>
    <t>M &amp; G MSO</t>
  </si>
  <si>
    <t>Maclyn Group</t>
  </si>
  <si>
    <t>Metropolis Coffee Company</t>
  </si>
  <si>
    <t>Mid America Asset Management</t>
  </si>
  <si>
    <t>Mid America Real Estate </t>
  </si>
  <si>
    <t xml:space="preserve"> 002354</t>
  </si>
  <si>
    <t>Midwest Groundcovers</t>
  </si>
  <si>
    <t xml:space="preserve"> 084669</t>
  </si>
  <si>
    <t>MVP Plumbing</t>
  </si>
  <si>
    <t>Numerical Algorithms Group</t>
  </si>
  <si>
    <t>Pan American Bank &amp; Trust</t>
  </si>
  <si>
    <t>Pargreen Process Tech</t>
  </si>
  <si>
    <t>Pearl City</t>
  </si>
  <si>
    <t>Penrose Brewing</t>
  </si>
  <si>
    <t xml:space="preserve"> 009024</t>
  </si>
  <si>
    <t>Petersen Fuels</t>
  </si>
  <si>
    <t>Peterson Electro Musical Products</t>
  </si>
  <si>
    <t>Pivot Product Development</t>
  </si>
  <si>
    <t xml:space="preserve"> 003572</t>
  </si>
  <si>
    <t>Promac</t>
  </si>
  <si>
    <t>Rayner</t>
  </si>
  <si>
    <t>Real Clear Politics</t>
  </si>
  <si>
    <t>Red Dog Logistics</t>
  </si>
  <si>
    <t>Red Speed</t>
  </si>
  <si>
    <t>RGLA solutions</t>
  </si>
  <si>
    <t>Ronald McDonald House Charities of Chicagoland and Northwest Indiana</t>
  </si>
  <si>
    <t>Sherman Dodge</t>
  </si>
  <si>
    <t>Sky Road</t>
  </si>
  <si>
    <t>Society of Critical Care Medicine</t>
  </si>
  <si>
    <t>Spikeball, Inc.</t>
  </si>
  <si>
    <t>Sports and Ortho PC</t>
  </si>
  <si>
    <t xml:space="preserve"> 005836</t>
  </si>
  <si>
    <t>Spring USA</t>
  </si>
  <si>
    <t>Tartan Realty Group</t>
  </si>
  <si>
    <t>Teska Associates</t>
  </si>
  <si>
    <t xml:space="preserve">The Housing Authority of Henry County </t>
  </si>
  <si>
    <t>The Sotos Law Firm, P.C.</t>
  </si>
  <si>
    <t>Town of Cortland</t>
  </si>
  <si>
    <t>Trilogy Interactive, LLC</t>
  </si>
  <si>
    <t>Urban Growers Collective</t>
  </si>
  <si>
    <t>Vascular Specialists</t>
  </si>
  <si>
    <t>Versa Gard</t>
  </si>
  <si>
    <t>Village of Rockdale</t>
  </si>
  <si>
    <t>Village of Smithton</t>
  </si>
  <si>
    <t>Von Weise Associate</t>
  </si>
  <si>
    <t>Women's Care Group</t>
  </si>
  <si>
    <t>Your Back Office</t>
  </si>
  <si>
    <t>50,000 FEET, INC.</t>
  </si>
  <si>
    <t>AETNA BUILDING SOLUTIONS, INC.</t>
  </si>
  <si>
    <t>ALAN D. LASKO AND ASSOCIATES, P. C.</t>
  </si>
  <si>
    <t>ALLIUM PARTNERS LLC</t>
  </si>
  <si>
    <t>AMERICAN STREET CAPITAL LLC</t>
  </si>
  <si>
    <t>BENNETT DAY SCHOOL, INC.</t>
  </si>
  <si>
    <t>BFC FORMS SERVICE, INC.</t>
  </si>
  <si>
    <t>BRIGHT LIGHT RADIOLOGY S.C</t>
  </si>
  <si>
    <t>CHARLIE GREENE STUDIO</t>
  </si>
  <si>
    <t>CHESLEY TAFT &amp; ASSOCIATES LLC</t>
  </si>
  <si>
    <t>CHICAGO NASAL &amp; SINUS CENTER</t>
  </si>
  <si>
    <t>CHILD CARE RESOURCE &amp; REFERRAL</t>
  </si>
  <si>
    <t>CITY OF HOMETOWN</t>
  </si>
  <si>
    <t>CITY OF MARSHALL</t>
  </si>
  <si>
    <t>CITY OF STAUNTON</t>
  </si>
  <si>
    <t>CREATA</t>
  </si>
  <si>
    <t>CURRENT TECHNOLOGIES CORPORATION</t>
  </si>
  <si>
    <t>CYCLONE GROUP P.C.</t>
  </si>
  <si>
    <t>DCS MECHANICAL INC</t>
  </si>
  <si>
    <t>DEKANE EQUIPMENT CORPORATION</t>
  </si>
  <si>
    <t>DIMERCO EXPRESS USA CORP</t>
  </si>
  <si>
    <t>DUPAGE HOUSING AUTHORITY</t>
  </si>
  <si>
    <t>EUGENE L. GRIFFIN AND ASSOCIATES LTD.</t>
  </si>
  <si>
    <t>EXEGISTICS EMPLOYEE HOLDINGS</t>
  </si>
  <si>
    <t>FINANCIAL REPORTING ADVISORS, LLC</t>
  </si>
  <si>
    <t>FOUR FOUR DESIGN LLC</t>
  </si>
  <si>
    <t>FRANK LLOYD WRIGHT TRUST</t>
  </si>
  <si>
    <t>GLOBAL CONTRACT MANUFACTURING</t>
  </si>
  <si>
    <t>GREAT NORTHERN INSTORE</t>
  </si>
  <si>
    <t>GREATER METRO AREA HOUSING AUTHORITY</t>
  </si>
  <si>
    <t>GRUNDY COUNTY HOUSING AUTHORITY</t>
  </si>
  <si>
    <t>HCP FINANCIAL &amp; MANAGEMENT SERVICES, LLC</t>
  </si>
  <si>
    <t>HITCHCOCK DESIGN INC</t>
  </si>
  <si>
    <t>HUSTON AND MAY, LLC</t>
  </si>
  <si>
    <t>INTERNATIONAL CARWASH ASSOCIATION, INC.</t>
  </si>
  <si>
    <t>KANKAKEE COUNTY HOUSING AUTHORITY</t>
  </si>
  <si>
    <t>Kankakee County Housing Authority</t>
  </si>
  <si>
    <t>KENWAY CONSULTING</t>
  </si>
  <si>
    <t>KINNICK MEDICAL, LTD</t>
  </si>
  <si>
    <t>KIRKEGAARD ASSOCIATES</t>
  </si>
  <si>
    <t>KNOX COUNTY HOUSING AUTHORITY</t>
  </si>
  <si>
    <t>LAKE IN THE HILLS SANITARY DISTRICT</t>
  </si>
  <si>
    <t>LEUKEMIA RESEARCH FOUNDATION, INC</t>
  </si>
  <si>
    <t>LEVER INTERACTIVE</t>
  </si>
  <si>
    <t>LIBRA INDUSTRIES</t>
  </si>
  <si>
    <t>LLT GROUP, INC</t>
  </si>
  <si>
    <t>M &amp; G MSO, LLC</t>
  </si>
  <si>
    <t>FTDGD, INC D/B/A MACLYN GROUP</t>
  </si>
  <si>
    <t>METROPOLIS COFFEE COMPANY</t>
  </si>
  <si>
    <t>MID AMERICA ASSET MANAGEMENT INC</t>
  </si>
  <si>
    <t>MID AMERICA REAL ESTATE CORPORATION</t>
  </si>
  <si>
    <t>MIDWEST GROUNDCOVERS</t>
  </si>
  <si>
    <t>MVP PLUMBING</t>
  </si>
  <si>
    <t>NUMERICAL ALGORITHMS GROUP, INC.</t>
  </si>
  <si>
    <t>PAN AMERICAN BANK &amp; TRUST</t>
  </si>
  <si>
    <t>PARGREEN PROCESS TECHNOLOGIES</t>
  </si>
  <si>
    <t>PEARL CITY ELEVATOR, INC.</t>
  </si>
  <si>
    <t>PENROSE BREWING COMPANY</t>
  </si>
  <si>
    <t>PETERSEN FUELS, INC.</t>
  </si>
  <si>
    <t>PETERSON ELECTRO-MUSICAL PRODUCTS, INC.</t>
  </si>
  <si>
    <t>PIVOT PRODUCT DEVELOPMENT LLC</t>
  </si>
  <si>
    <t>PROMAC, INC.</t>
  </si>
  <si>
    <t>RAYNER RDS, LLC</t>
  </si>
  <si>
    <t>REAL CLEAR HOLDINGS DBA REAL CLEAR POLITICS L</t>
  </si>
  <si>
    <t>RED DOG LOGISTICS INC</t>
  </si>
  <si>
    <t>REDSPEED ILLINOIS, LLC</t>
  </si>
  <si>
    <t>RGLA SOLUTIONS INC</t>
  </si>
  <si>
    <t>RONALD MCDONALD HOUSE CHARITIES OF CHICAGOLA</t>
  </si>
  <si>
    <t>SHERMAN DODGE</t>
  </si>
  <si>
    <t>SKY ROAD</t>
  </si>
  <si>
    <t>SOCIETY OF CRITICAL CARE MEDICINE</t>
  </si>
  <si>
    <t>KANKAKEE SPIKEBALL INC</t>
  </si>
  <si>
    <t>SPORTS AND ORTHO PC</t>
  </si>
  <si>
    <t>SPRING USA CORPORATION</t>
  </si>
  <si>
    <t>TARTAN REALTY GROUP, INC.</t>
  </si>
  <si>
    <t>TESKA ASSOCIATES INC</t>
  </si>
  <si>
    <t>HOUSING AUTHORITY OF HENRY COUNTY</t>
  </si>
  <si>
    <t>THE SOTOS LAW OFFICE, P.C.</t>
  </si>
  <si>
    <t>TOWN OF CORTLAND</t>
  </si>
  <si>
    <t>TRILOGY INTERACTIVE LLC</t>
  </si>
  <si>
    <t>URBAN GROWERS COLLECTIVE INC</t>
  </si>
  <si>
    <t>VASCULAR SPECIALISTS, LLC</t>
  </si>
  <si>
    <t>VILLAGE OF ROCKDALE</t>
  </si>
  <si>
    <t>VILLAGE OF SMITHTON</t>
  </si>
  <si>
    <t>VON WEISE ASSOCIATES</t>
  </si>
  <si>
    <t>FOTI CHRONOPOULOS, MD DBA WOMEN''S CARE GROUP</t>
  </si>
  <si>
    <t>YOUR BACK OFFICE, LLC</t>
  </si>
  <si>
    <t>&lt;Empty&gt;</t>
  </si>
  <si>
    <t>&lt;Not Empty&gt;</t>
  </si>
  <si>
    <t>Male</t>
  </si>
  <si>
    <t>Female</t>
  </si>
  <si>
    <t>Single</t>
  </si>
  <si>
    <t>Divorced</t>
  </si>
  <si>
    <t>Widowed</t>
  </si>
  <si>
    <t>&lt;Ignore&gt;</t>
  </si>
  <si>
    <t>Former spouse - court ordered coverage</t>
  </si>
  <si>
    <t>Separated</t>
  </si>
  <si>
    <t>United States</t>
  </si>
  <si>
    <t>Work</t>
  </si>
  <si>
    <t>BLUE OPTIONS</t>
  </si>
  <si>
    <t>2024-25 G508OPT Blue Choice Options (BCO)</t>
  </si>
  <si>
    <t>BLUE PRECISION</t>
  </si>
  <si>
    <t>2024 - 25 P506PSN Blue Precision (HMO Network) *IL RESIDENTS ONLY</t>
  </si>
  <si>
    <t>PPO</t>
  </si>
  <si>
    <t>2024 -25 G532PPO Blue PPO (PPO Network)</t>
  </si>
  <si>
    <t>BLUE ADV HMO</t>
  </si>
  <si>
    <t>2024 Blue Advantage HMO MIBAH2020</t>
  </si>
  <si>
    <t>BLUE CHOICE SELECT</t>
  </si>
  <si>
    <t>2024 Blue Choice Select PPO MIBCS2120</t>
  </si>
  <si>
    <t>2024 Blue Options PPO MIBCO2030</t>
  </si>
  <si>
    <t>2024 Blue Edge HSA HDHP MIEEE3083</t>
  </si>
  <si>
    <t>2024-2025 Plan 1: G506OPT</t>
  </si>
  <si>
    <t>2024-2025 Plan 3: P506 HMO</t>
  </si>
  <si>
    <t>2024-2025 Plan 2: G535 HDHP</t>
  </si>
  <si>
    <t>BCBS HMO MHHB196-2024</t>
  </si>
  <si>
    <t>BCBS HDHP Select HSA MBS3805-2024</t>
  </si>
  <si>
    <t>BCBS PPO NPP93836-2024</t>
  </si>
  <si>
    <t>BCBS HDHP HSA MPSC1807-2024</t>
  </si>
  <si>
    <t>2024-2025 BCBS MIBCO2000</t>
  </si>
  <si>
    <t>2024-2025 BCBS RPP72326 PPO</t>
  </si>
  <si>
    <t>2024-2025 BCBS MIBCO2040</t>
  </si>
  <si>
    <t>2024-2025 BCBS MICOE4064 HDHP</t>
  </si>
  <si>
    <t>G508OPT - Blue Choice Options $1,500 Deductible (Large PPO) 2023-24</t>
  </si>
  <si>
    <t>BLUECP</t>
  </si>
  <si>
    <t>G531BCE - Blue Choice Preferred $2,500 deductible (Small PPO) 2023-24</t>
  </si>
  <si>
    <t>S507OPT - Blue Choice Options $4,000 Deductible (Large PPO HDHP H.S.A.) 2023-24</t>
  </si>
  <si>
    <t>S531BCE - Blue Choice Preferred  $4,700 Deductible (Small PPO) 2023-24</t>
  </si>
  <si>
    <t>S531PSN - Blue Precision $3,000 Deductible (HMO - Illinois Residents ONLY) 2023-24</t>
  </si>
  <si>
    <t>2024-25 HDHP H.S.A. Plan S507OPT</t>
  </si>
  <si>
    <t>2024-25 PPO Plan G506OPT</t>
  </si>
  <si>
    <t>2024-25 HMO Plan P5E1PSN</t>
  </si>
  <si>
    <t>2023 BC HMO MIBAV2120 ILLINOIS ONLY</t>
  </si>
  <si>
    <t>2023 HSA SELECT - MIESA3113 -ILLINOIS ONLY</t>
  </si>
  <si>
    <t>2023 Blue Choice Options (BCO) - MIBCO2030</t>
  </si>
  <si>
    <t>2023 HSA PPO - MIEEE3083</t>
  </si>
  <si>
    <t>2024-25 PPO RPP73423</t>
  </si>
  <si>
    <t>2024-25 H.S.A. Plan RPSE3A05</t>
  </si>
  <si>
    <t>G506OPT - Blue OPTIONS PPO</t>
  </si>
  <si>
    <t>S507OPT HSA HDHP</t>
  </si>
  <si>
    <t>P506PSN - HMO</t>
  </si>
  <si>
    <t>G532PPO - PPO</t>
  </si>
  <si>
    <t>IL only - BCBS MHVBV02C HMO 2024</t>
  </si>
  <si>
    <t>IL only - BCBS PPO MBP8343C -2024</t>
  </si>
  <si>
    <t>IL only - BCBS HDHP MBSC3805 - 2024</t>
  </si>
  <si>
    <t>HSA Choice Options MTEQ1Z0724 - 2024</t>
  </si>
  <si>
    <t>BCBS PPO MPPC3826 - 2024</t>
  </si>
  <si>
    <t>2024 G506OPT Blue Choice Options Gold PPO</t>
  </si>
  <si>
    <t>2024 S506OPT Blue Choice Options Silver PPO</t>
  </si>
  <si>
    <t>2024 S532BCE Blue Choice Preferred PPO</t>
  </si>
  <si>
    <t>2024-25 - G508OPT - Blue Choice Options PPO</t>
  </si>
  <si>
    <t>2024-25 G5K1OPT - Blue Choice Options HDHP</t>
  </si>
  <si>
    <t>2024-25 - G531BCE - Blue Choice Preferred PPO</t>
  </si>
  <si>
    <t>2024-25 Blue Cross  P5E1BCE Platinum Plan</t>
  </si>
  <si>
    <t>2024-25 Blue Cross Gold Plan G532BCE</t>
  </si>
  <si>
    <t>0015 G508OPT</t>
  </si>
  <si>
    <t>0012 P506PSN</t>
  </si>
  <si>
    <t>0013 G532PPO</t>
  </si>
  <si>
    <t>0025 MIBAH2020</t>
  </si>
  <si>
    <t>0028 MIBCS2120</t>
  </si>
  <si>
    <t>0026 MIBCO2030</t>
  </si>
  <si>
    <t>0029 MIEEE3083</t>
  </si>
  <si>
    <t>0012 MIBAH2020</t>
  </si>
  <si>
    <t>0010 MIBCS2090</t>
  </si>
  <si>
    <t>0011 MIBCS2010</t>
  </si>
  <si>
    <t>0013 MICOE3053</t>
  </si>
  <si>
    <t>0014 MICOE3013</t>
  </si>
  <si>
    <t>0015 MIBPP2000</t>
  </si>
  <si>
    <t>0006 G506OPT</t>
  </si>
  <si>
    <t>0004 P506PSN</t>
  </si>
  <si>
    <t>0005 G535PPO</t>
  </si>
  <si>
    <t>0017 MHHB196</t>
  </si>
  <si>
    <t>0019 MBSC3805</t>
  </si>
  <si>
    <t>0016 NPP93836</t>
  </si>
  <si>
    <t>0018 MPSC1807</t>
  </si>
  <si>
    <t>0001 MIBCO2000</t>
  </si>
  <si>
    <t>0018 RPP72326</t>
  </si>
  <si>
    <t>0002 MIBCO2040</t>
  </si>
  <si>
    <t>0003 MICOE4064</t>
  </si>
  <si>
    <t>0019 P506PSN</t>
  </si>
  <si>
    <t>0020 P503PPO</t>
  </si>
  <si>
    <t>0016 G5K1OPT</t>
  </si>
  <si>
    <t>0028 MIBCS2160</t>
  </si>
  <si>
    <t>0033 MIESE3183</t>
  </si>
  <si>
    <t>0032 MICOE3073</t>
  </si>
  <si>
    <t>0034 MIEEE3083</t>
  </si>
  <si>
    <t>0044 G507OPT</t>
  </si>
  <si>
    <t>0046 G506OPT</t>
  </si>
  <si>
    <t>0045 S506OPT</t>
  </si>
  <si>
    <t>0049 S507OPT</t>
  </si>
  <si>
    <t>0047 P506PSN</t>
  </si>
  <si>
    <t>0048 S531PSN</t>
  </si>
  <si>
    <t>0013 G508OPT</t>
  </si>
  <si>
    <t>0005 G531BCE</t>
  </si>
  <si>
    <t>0009 S507OPT</t>
  </si>
  <si>
    <t>0012 S531BCE</t>
  </si>
  <si>
    <t>0011 S531PSN</t>
  </si>
  <si>
    <t>0001 S507OPT</t>
  </si>
  <si>
    <t>0002 G506OPT</t>
  </si>
  <si>
    <t>0003 P5E1PSN</t>
  </si>
  <si>
    <t>0036 MIBAV2120</t>
  </si>
  <si>
    <t>0040 MIESA3113</t>
  </si>
  <si>
    <t>0039 MIBCO2030</t>
  </si>
  <si>
    <t>0041 MIEEE3083</t>
  </si>
  <si>
    <t>0006 RPP73423</t>
  </si>
  <si>
    <t>0008 RPSE3A05</t>
  </si>
  <si>
    <t>0004 G506OPT</t>
  </si>
  <si>
    <t>0005 S507OPT</t>
  </si>
  <si>
    <t>0002 P506PSN</t>
  </si>
  <si>
    <t>0003 G532PPO</t>
  </si>
  <si>
    <t>0002 MIBAV2152</t>
  </si>
  <si>
    <t>0001 MIBCO2050</t>
  </si>
  <si>
    <t>0004 MICOE3053</t>
  </si>
  <si>
    <t>0010 MHVBV02C</t>
  </si>
  <si>
    <t>0012 MBP8343C</t>
  </si>
  <si>
    <t>0015 MBSC3805</t>
  </si>
  <si>
    <t>0019 MTEQ1Z0724</t>
  </si>
  <si>
    <t>0013 MPPC3826</t>
  </si>
  <si>
    <t>0017 G506OPT</t>
  </si>
  <si>
    <t>0016 G507OPT</t>
  </si>
  <si>
    <t>0012 G532PPO</t>
  </si>
  <si>
    <t>0013 P506PSN</t>
  </si>
  <si>
    <t>0015 S507OPT</t>
  </si>
  <si>
    <t>0021 G506OPT</t>
  </si>
  <si>
    <t>0022 S506OPT</t>
  </si>
  <si>
    <t>0017 S532BCE</t>
  </si>
  <si>
    <t>0022 G508OPT</t>
  </si>
  <si>
    <t>0024 G5K1OPT</t>
  </si>
  <si>
    <t>0023 G531BCE</t>
  </si>
  <si>
    <t>0003 P5E1BCE</t>
  </si>
  <si>
    <t>0004 G532BCE</t>
  </si>
  <si>
    <t>0008 S507OPT</t>
  </si>
  <si>
    <t>0007 G5K1OPT</t>
  </si>
  <si>
    <t>0006 P506PSN</t>
  </si>
  <si>
    <t>0006 S506OPT</t>
  </si>
  <si>
    <t>0007 G506OPT</t>
  </si>
  <si>
    <t>0009 G5J2PSN</t>
  </si>
  <si>
    <t>DENTAL</t>
  </si>
  <si>
    <t>DENTAL HMO</t>
  </si>
  <si>
    <t>0013 DILHR04</t>
  </si>
  <si>
    <t>0007 DINLM49</t>
  </si>
  <si>
    <t>0006 DNCAP830</t>
  </si>
  <si>
    <t>0010 DILHR04</t>
  </si>
  <si>
    <t>Disabled Dependent</t>
  </si>
  <si>
    <t>Dependent Child</t>
  </si>
  <si>
    <t>Child of Domestic Partner</t>
  </si>
  <si>
    <t>Former Dependent</t>
  </si>
  <si>
    <t>Calculation Type</t>
  </si>
  <si>
    <t>Condition</t>
  </si>
  <si>
    <t>Benchmark</t>
  </si>
  <si>
    <t>Date - Count Years</t>
  </si>
  <si>
    <t>-</t>
  </si>
  <si>
    <t>&lt;</t>
  </si>
  <si>
    <t>&gt;=</t>
  </si>
  <si>
    <t>Alert/Reminder</t>
  </si>
  <si>
    <t>Date - Count Days</t>
  </si>
  <si>
    <t>&lt;Today&gt;</t>
  </si>
  <si>
    <t>&gt;</t>
  </si>
  <si>
    <t>This group has two different group number in BCBSIL, please enter a correct one before continue</t>
  </si>
  <si>
    <t>Please check if the Enrollment Start Date - Medical is same as Enrollment Start Date - Dental</t>
  </si>
  <si>
    <t>Reminder</t>
  </si>
  <si>
    <t>Uncertain Marital Status, please update the config</t>
  </si>
  <si>
    <t>Age can't lower than 16-years-old</t>
  </si>
  <si>
    <t>Country is not US, please check</t>
  </si>
  <si>
    <t>Text</t>
  </si>
  <si>
    <t>&lt;&gt;</t>
  </si>
  <si>
    <t>Address 1 for Home Address is empty, please reach out to Account manager for full address</t>
  </si>
  <si>
    <t>City for Home Address is empty, please reach out to Account manager for full address</t>
  </si>
  <si>
    <t>State for Home Address is empty, please reach out to Account manager for full address</t>
  </si>
  <si>
    <t>Zip Code for Home Address is empty, please reach out to Account manager for full address</t>
  </si>
  <si>
    <t>Medicare Eligible is Yes for a/some dependent(s), please change checkbox (Do any dependents have: Medicare information?) to Yes and select Eligible in Dep Medicare tab in BCBS if needed</t>
  </si>
  <si>
    <t>A/some dependent(s) have separate address, please change checkbox (Do any dependents have: Different address information than the employee?) to Yes and update different address in Dep Address tab in BCBS if needed)</t>
  </si>
  <si>
    <t>Dependent &lt;full name with format first name middle last name e.g. Mary N Smith&gt; enroll different plan from EE, please re-select coverage in BCBS IL if needed"</t>
  </si>
  <si>
    <t>Please Select division info for the captioned group</t>
  </si>
  <si>
    <t>Please ensure that this Group required the billed info</t>
  </si>
  <si>
    <t>The SSN in Input Field must be 9 digits.</t>
  </si>
  <si>
    <t>Length</t>
  </si>
  <si>
    <t>The Zip Code in Input Field must be 5 or 9 digits.</t>
  </si>
  <si>
    <t>=</t>
  </si>
  <si>
    <t>Relationship in IFN is Child, but the Student - Dependent is Empty, please complete the Student - Dependent info</t>
  </si>
  <si>
    <t>Relationship in IFN is Child, but the Disabled - Dependent is Empty, please complete the Disabled - Dependent info</t>
  </si>
  <si>
    <t>The Relationship in Input does not have corresponding items in Config, please update config accordingly.</t>
  </si>
  <si>
    <t>Find an Employee/Dependent (Employee) &amp; Find an Employee/Dependent (Dependent) can not both be True</t>
  </si>
  <si>
    <t>HIPPA Certification:(Yes) &amp; HIPPA Certification:(No) can not both be True</t>
  </si>
  <si>
    <t>Please at least choose one Ethnicity info</t>
  </si>
  <si>
    <t>Please at least choose one Race info</t>
  </si>
  <si>
    <t>Can not select both Yes and No for this question</t>
  </si>
  <si>
    <t>Coverage Level - Medical can not be blank</t>
  </si>
  <si>
    <t>红色背景代表该单元格的文本标识一个IFN</t>
  </si>
  <si>
    <t>绿色背景代表该单元格的文本标识一个OFN</t>
  </si>
  <si>
    <t>一个OFN的取值由一个IFN决定，直接一一对应</t>
  </si>
  <si>
    <t>Account Name</t>
  </si>
  <si>
    <t>一个OFN的取值由多个IFN决定</t>
  </si>
  <si>
    <t>Enroll Plan Name - Dental</t>
  </si>
  <si>
    <t>Target Plan Type</t>
  </si>
  <si>
    <t>Target Carrier</t>
  </si>
  <si>
    <t>一个OFN的取值为默认值，不需要任何IFN，只写OFN，把对应行的IFN留空</t>
  </si>
  <si>
    <t>Language:</t>
  </si>
  <si>
    <t>直接赋值进行筛选</t>
  </si>
  <si>
    <t>Enroll Plan Name - Dental的取值，需要使用"Dental"在Target Plan Type中筛选，并且，使用"Blue Cross Blue Shield of Illinois"在Target Carrier中筛选</t>
  </si>
  <si>
    <t>使用IFN本身的值进行筛选</t>
  </si>
  <si>
    <t>Enroll Plan Name - Medical</t>
  </si>
  <si>
    <t>Enrollment Start Date</t>
  </si>
  <si>
    <t>同一位置需要筛选多个值</t>
  </si>
  <si>
    <t>Enroll Change Field</t>
  </si>
  <si>
    <t>Enroll Change Dep ID</t>
  </si>
  <si>
    <t>如果多个IFN的筛选区域完全一致，那么可以列在一起，不需要另起一个表</t>
  </si>
  <si>
    <t>Med</t>
  </si>
  <si>
    <t>BCBS</t>
  </si>
  <si>
    <t>列名IFN在Data in EN所在的Section Name, Subsection Name以及使用Field Name作为Data in EN Name</t>
  </si>
  <si>
    <t>Section in Data in EN</t>
  </si>
  <si>
    <t>Subsection in Data in EN</t>
  </si>
  <si>
    <t>Section 4.1</t>
  </si>
  <si>
    <t>如果一个OFN的取值不需要任何其他IFN或OFN的参与，即该OFN的取值是默认值</t>
  </si>
  <si>
    <t>Mapping Table - Default Value</t>
  </si>
  <si>
    <t>一个OFN的取值由一个IFN或OFN的取值决定</t>
  </si>
  <si>
    <t>Mapping Table - 1 to 1</t>
  </si>
  <si>
    <t>BDS</t>
  </si>
  <si>
    <t>BDS1</t>
  </si>
  <si>
    <t>Bennett Day School 1</t>
  </si>
  <si>
    <t>BDS2</t>
  </si>
  <si>
    <t>Bennett Day School 2</t>
  </si>
  <si>
    <t>Duplicate Account!</t>
  </si>
  <si>
    <t>Bennett Day School - Duplicate</t>
  </si>
  <si>
    <t>一个OFN的取值由多个IFN或OFN的取值共同决定</t>
  </si>
  <si>
    <t>Mapping Table - 2 to 1 and involve OFN</t>
  </si>
  <si>
    <t>*Product - Medical:</t>
  </si>
  <si>
    <t>*Product Type - Medical:</t>
  </si>
  <si>
    <t>P506PSN Blue Precision (HMO Network) *IL RESIDENTS ONLY 2023-24</t>
  </si>
  <si>
    <t>0011 G534PPO</t>
  </si>
  <si>
    <t>G534PPO Blue PPO (PPO Network) 2023-24</t>
  </si>
  <si>
    <t>一个OFN的取值由多个IFN或OFN的取值共同决定，并且有忽略条件</t>
  </si>
  <si>
    <t>Mapping Table - involve ignore</t>
  </si>
  <si>
    <t>#N/A, Student is Yes and Disabled is Yes, please re-select relation from output dropdown list</t>
  </si>
  <si>
    <t>在特定条件下返回Alert</t>
  </si>
  <si>
    <t>Dep Medical Plan Name</t>
  </si>
  <si>
    <t>EE Medical Plan Name</t>
  </si>
  <si>
    <t>Show Alert at</t>
  </si>
  <si>
    <t>Dep Medical Plan not same with EE Medical Plan!</t>
  </si>
  <si>
    <t>&lt;&gt; </t>
  </si>
  <si>
    <t>Section 4.2</t>
  </si>
  <si>
    <t>只包含一个指令的format requirement</t>
  </si>
  <si>
    <t>Format Requirements</t>
  </si>
  <si>
    <t>包含多个指令，并且指令含有参数</t>
  </si>
  <si>
    <t>Remove Character</t>
  </si>
  <si>
    <t>First Letters</t>
  </si>
  <si>
    <t>当前已完成的format指令和功能参数</t>
  </si>
  <si>
    <t>Format Name</t>
  </si>
  <si>
    <t>功能</t>
  </si>
  <si>
    <t>参数</t>
  </si>
  <si>
    <t>取得传入日期的天</t>
  </si>
  <si>
    <t>无</t>
  </si>
  <si>
    <t>取得传入日期的月份</t>
  </si>
  <si>
    <t>取得传入日期的年份</t>
  </si>
  <si>
    <t>去除传入字符串除字母数字外的所有符号</t>
  </si>
  <si>
    <t>Title Case</t>
  </si>
  <si>
    <t>将传入字符串首字母大写</t>
  </si>
  <si>
    <t>All Caps</t>
  </si>
  <si>
    <t>将传入字符串全大写</t>
  </si>
  <si>
    <t>取得传入字符串的前几位字符</t>
  </si>
  <si>
    <t>一个参数，用于规定取前几位</t>
  </si>
  <si>
    <t>Middle Letters</t>
  </si>
  <si>
    <t>取得传入字符串从某个位置开始的几位字符</t>
  </si>
  <si>
    <t>两个参数，第一个用于规定从哪个位置开始，第二个参数用于规定取几位字符</t>
  </si>
  <si>
    <t>End Letters</t>
  </si>
  <si>
    <t>取得传入字符串的最后几位字符</t>
  </si>
  <si>
    <t>一个参数，用于规定取后几位</t>
  </si>
  <si>
    <t>1. 绿色背景代表该单元格的文本标识一个OFN</t>
  </si>
  <si>
    <t>2. 红色背景代表该单元格的文本标识一个IFN</t>
  </si>
  <si>
    <t>3. 不允许config表格中有空白单元格</t>
  </si>
  <si>
    <t>4. 在建立完成section 1的基础上，在section2-4，必须右键选择IFN或者OFN（单元格格式会自动改变)</t>
  </si>
  <si>
    <t>5. &lt;Ignore&gt;：忽略当前列的判断</t>
  </si>
  <si>
    <t>6. &lt;Empty&gt;：匹配空值</t>
  </si>
  <si>
    <t>7. &lt;Value&gt;：直接引用对应IFN或OFN的值</t>
  </si>
  <si>
    <t>1. 此背景代表需要SDU user 填写</t>
  </si>
  <si>
    <t>2. 此背景代表需要OpEx Prebuild Formula</t>
  </si>
  <si>
    <t>3. 此背景代表需要Developer 填写</t>
  </si>
  <si>
    <t>4. 重复的IFN或OFN不会影响rule engine运行，但需要注意同一IFN或OFN的数据来源必须一致</t>
  </si>
  <si>
    <t>Data-MaxLength</t>
  </si>
  <si>
    <t>Data-Sync-Trim</t>
  </si>
  <si>
    <t>Data-Sync-Uppercase</t>
  </si>
  <si>
    <t>Data-Sync-Lowercase</t>
  </si>
  <si>
    <t>AlertWording</t>
  </si>
  <si>
    <t>Page in UI</t>
  </si>
  <si>
    <t>Selector</t>
  </si>
  <si>
    <t>Number</t>
  </si>
  <si>
    <t>Please enter SSN from EN or Emails</t>
  </si>
  <si>
    <t>Common Section - General Info</t>
  </si>
  <si>
    <t>Input</t>
  </si>
  <si>
    <t>Please enter SSN from EN or Emails in IFN Part</t>
  </si>
  <si>
    <t>1,3</t>
  </si>
  <si>
    <t>xxxx</t>
  </si>
  <si>
    <t>AC1-xxxxx</t>
  </si>
  <si>
    <t>4,5</t>
  </si>
  <si>
    <t>AC2-xxxxx</t>
  </si>
  <si>
    <t>6,9</t>
  </si>
  <si>
    <t>AC3-xxxxx</t>
  </si>
  <si>
    <t>Common Section - Employee Search</t>
  </si>
  <si>
    <t>SSN:(3 Digits) - Dep</t>
  </si>
  <si>
    <t>Group Name:</t>
  </si>
  <si>
    <t>Please enter Group Name from EN or Emails</t>
  </si>
  <si>
    <t>Please enter Group Name from EN or Emails in IFN Part</t>
  </si>
  <si>
    <t>IFN-OFN Filling Method:</t>
  </si>
  <si>
    <t>一个OFN的取值为默认值，不需要任何IFN，只写OFN，把对应行的IFN写作&lt;Ignore&gt;</t>
  </si>
  <si>
    <t>如果多个IFN的筛选区域完全一致，那么可以列在一起，不需要另起一个表 - 因为IFN提到第一行，所以不能允许多个IFN列在同一个表</t>
  </si>
  <si>
    <t>Overall Section 4 Structure:</t>
  </si>
  <si>
    <t>table之间用空行隔开，竖向排列</t>
  </si>
  <si>
    <t>程序会提取该tab下每一个IFN或OFN的选项，并为对应的IFN或OFN建立下拉选项</t>
  </si>
  <si>
    <t>如果一个OFN的取值直接等于一个IFN，则不需要在section 4中填写任何表格，程序会自动根据section 1中的对应关系取值</t>
  </si>
  <si>
    <t>如果一个OFN需要设置默认值，either是网站时默认展示的值不需要修改， or 需要always在网站上填写一个默认的值，都需要列在Section 4</t>
  </si>
  <si>
    <t>需要show一个完整信息的dropdown on UI， 则需要在Sec4 对应的IFN/OFN 里列全所有选项，不需要其他other columns mapping的， 必须要把其他columns, 标记成Ignore</t>
  </si>
  <si>
    <t>如果一个OFN的取值不需要任何其他IFN或OFN的参与，即该OFN的取值是默认值（如果对于某些空，不需要做任何更改，就不需要填写section 4，如果要设置一个空的默认显示的值，则需要按照默认值的表填写)</t>
  </si>
  <si>
    <t>* 默认值指的是：either是网站时默认展示的值不需要修改， or 需要always在网站上填写一个默认的值</t>
  </si>
  <si>
    <t>* 如果需要默认留空则不用写在Section 4</t>
  </si>
  <si>
    <t>一个OFN的取值需要匹配空值</t>
  </si>
  <si>
    <t>NA</t>
  </si>
  <si>
    <t>OFN的值需要经过运算得到</t>
  </si>
  <si>
    <t>Medicare Eligibility的值需要根据Enrollment Start Date和DOB的差值和特定时间长度（65年)比较得到</t>
  </si>
  <si>
    <t>65 Year</t>
  </si>
  <si>
    <t>Radio Button的取值</t>
  </si>
  <si>
    <t xml:space="preserve">For all radio button, use one table to determine the value for one of the radio button first, then use another table(s) to determine the status of the other radio button(s) according to the pre-define radio button value, see below example: </t>
  </si>
  <si>
    <t>Employee (Pending)</t>
  </si>
  <si>
    <r>
      <t>*Will this employee be covering their spouse and/or dependents? (</t>
    </r>
    <r>
      <rPr>
        <b/>
        <sz val="11"/>
        <color theme="1"/>
        <rFont val="Calibri"/>
        <family val="2"/>
        <scheme val="minor"/>
      </rPr>
      <t>No</t>
    </r>
    <r>
      <rPr>
        <sz val="11"/>
        <color theme="1"/>
        <rFont val="Calibri"/>
        <family val="2"/>
        <scheme val="minor"/>
      </rPr>
      <t>)(Medical)</t>
    </r>
  </si>
  <si>
    <r>
      <t>*Will this employee be covering their spouse and/or dependents? (</t>
    </r>
    <r>
      <rPr>
        <b/>
        <sz val="11"/>
        <color theme="1"/>
        <rFont val="Calibri"/>
        <family val="2"/>
        <scheme val="minor"/>
      </rPr>
      <t>Yes</t>
    </r>
    <r>
      <rPr>
        <sz val="11"/>
        <color theme="1"/>
        <rFont val="Calibri"/>
        <family val="2"/>
        <scheme val="minor"/>
      </rPr>
      <t>)(Medical)</t>
    </r>
  </si>
  <si>
    <t>Hire Date</t>
  </si>
  <si>
    <t>Current Date</t>
  </si>
  <si>
    <t>365 Days</t>
  </si>
  <si>
    <t>Address</t>
  </si>
  <si>
    <t>EE Address</t>
  </si>
  <si>
    <t>EE Address length more than 25 digits!</t>
  </si>
  <si>
    <t>abcd</t>
  </si>
  <si>
    <t>1st day of month</t>
  </si>
  <si>
    <t>Condition Type</t>
  </si>
  <si>
    <t>&lt;=</t>
  </si>
  <si>
    <t>*</t>
  </si>
  <si>
    <t>/</t>
  </si>
  <si>
    <t>+</t>
  </si>
  <si>
    <t>√</t>
  </si>
  <si>
    <t>EE Address length = 25</t>
  </si>
  <si>
    <t>text取长度，并判断长度是否等于一个benchmark，如果满足条件则执行赋值，目前没有这种case</t>
  </si>
  <si>
    <t>Date - Count Months</t>
  </si>
  <si>
    <t>Rule Engine 需要的</t>
  </si>
  <si>
    <t>UI 自己需要，但是跟Sec 4.2 有overlap的</t>
  </si>
  <si>
    <t>只有SDU需要用的</t>
  </si>
  <si>
    <t>xxx</t>
  </si>
  <si>
    <t>SDU 需要填的， column name 不够直给，需要重新考虑名字</t>
  </si>
  <si>
    <t>Column Name</t>
  </si>
  <si>
    <t>Purpose</t>
  </si>
  <si>
    <t>Apply to IFN</t>
  </si>
  <si>
    <t>Apply to OFN</t>
  </si>
  <si>
    <t>Required by UI Generation or Downstream Work?</t>
  </si>
  <si>
    <t>谁来填写</t>
  </si>
  <si>
    <t>能否独立完成</t>
  </si>
  <si>
    <t>Required Support</t>
  </si>
  <si>
    <t>EN Page？</t>
  </si>
  <si>
    <t>SDU Reference, 提醒用户这一列数据是从哪里取值</t>
  </si>
  <si>
    <t>SDU</t>
  </si>
  <si>
    <t>Rule Engine用来标记IFN-OFN对应关系</t>
  </si>
  <si>
    <t>OpEx 填写 "中间过度IFN"
OpEx Audit</t>
  </si>
  <si>
    <t>使用公式检查，IFN是否有重复，提醒SDU Manipulate IFN</t>
  </si>
  <si>
    <t>OpEx Build Formula</t>
  </si>
  <si>
    <t>SDU标记本IFN是否被多次重复使用，以便于formula检查是否是Dup Name， 以及用户检查同一个IFN，在不同位置使用时是否在不同位置取值</t>
  </si>
  <si>
    <t>OpEx Audit</t>
  </si>
  <si>
    <t>Type - Column名字不够self explain</t>
  </si>
  <si>
    <t>指定生成UI时 IFN Input Box 类型</t>
  </si>
  <si>
    <t>OpEx Audit Type</t>
  </si>
  <si>
    <t>生成js 文件的时候，用来判断是否是dependent相关的field，是否需要拆成多组</t>
  </si>
  <si>
    <t>当field为空的时候， field会使用placeholder为这个field生成一个浅灰色的wording</t>
  </si>
  <si>
    <t>生成IFN的时候，限制这个IFN的最大位数， 超过位数的会Alert</t>
  </si>
  <si>
    <t>生成IFN的时候，限制这个IFN的最大位数， 超过位数的会Reminder</t>
  </si>
  <si>
    <t>生成OFN的时候，告诉UI要把这个OFN放在哪个屏幕</t>
  </si>
  <si>
    <t>生成OFN的时候，告诉UI要把这个OFN放在哪个section</t>
  </si>
  <si>
    <t>Developer</t>
  </si>
  <si>
    <t>指定OFN是否为Required Field</t>
  </si>
  <si>
    <t>生成UI时用来限制filed的宽度</t>
  </si>
  <si>
    <t>生成UI时是否允许用编辑这个field</t>
  </si>
  <si>
    <t>从IFN Sync Value的时候，根据本列内容调整日期的输出格式</t>
  </si>
  <si>
    <t>从IFN Sync Value的时候，根据本列内容只保留文本或数字</t>
  </si>
  <si>
    <t>从IFN Sync Value的时候，根据本列内容截取文本时的起始字符位置</t>
  </si>
  <si>
    <t>从IFN Sync Value的时候，根据本列内容截取文本时的终止字符位置</t>
  </si>
  <si>
    <t>从IFN Sync Value的时候，根据本列内容做大小写转换</t>
  </si>
  <si>
    <t>Online process的时候，作为JS书签的识别符</t>
  </si>
  <si>
    <t>Online process的时候，作为JS书签的行动顺序</t>
  </si>
  <si>
    <t>Formula</t>
  </si>
  <si>
    <t>#</t>
  </si>
  <si>
    <t>Section</t>
  </si>
  <si>
    <t>Detail</t>
  </si>
  <si>
    <t>Potential Solution</t>
  </si>
  <si>
    <t>Notes</t>
  </si>
  <si>
    <t>现有的Config 结构无法填写的情况：</t>
  </si>
  <si>
    <t>有的Radio button 相关的Field（如Will this employee be covering their spouse and/or dependents?)是一组互斥的选项比如（Yes/No)，这个field 是必选的，但是选项是只能选一个，Sec 1 需要如何满足</t>
  </si>
  <si>
    <t xml:space="preserve">IFN不允许出现Radio, IFN 都已下拉菜单的方式展示
OFN以Check Box 的方式展示，每个checkbox独立一行，分开运算后展示在多行内； </t>
  </si>
  <si>
    <t>Race/Ethnicity 相关的Field是一组checkbox内，必须要选择一个，而不是每个空都是required field, 这种情况下怎么设置requried Field?</t>
  </si>
  <si>
    <t>全都改成不是required</t>
  </si>
  <si>
    <t>Max Length - 用户面临的场景不是简单的Max Length, 可能是精准的位数限制比如SSN 只能是9 位（Min Length 和Max Length 都是9 )， Zip Code 只能是min5 max 5 或者min 9 max9，地址是必须min1 max 25. 考虑是否需要添加Min length Colum，并且给出instruction</t>
  </si>
  <si>
    <t>sec 1 simply 表示超过数字上限之后的报错需求
其他需要判断大于小于，或者 是5 或者9之类的复杂需求，可以放在sec 5 完成</t>
  </si>
  <si>
    <t>现有的Config 结构能够填写但是需要进一步align format</t>
  </si>
  <si>
    <t>Max Length（IFN) 这一列应该要考虑特殊符号的影响(不确定现在有没有考虑/通过什么方式考虑的)，比如SSN应该是9位，这个9位应该是去除了“-"影响的; street1 的最大位数是25位，需要去除标点符号的影响。 IFN 是否要建立对应的config</t>
  </si>
  <si>
    <t>keep 现状</t>
  </si>
  <si>
    <t xml:space="preserve">Max Length 的 Alert/Reminder是不是只能展示在IFN里？可以放到OFN里吗？
这是Carrier操作相关的限制，把Alert/Reminder展示在IFN里是否合理？ 以后team部署下一个carrier的config的时候，还要再review一遍IFN里的max length 相关的设置
而且有的Alert 出现在IFN,有的出现在OFN。位置不统一，会增加学习成本（如max length 相关的alert出现在IFN，而required相关的alert 出现在OFN) </t>
  </si>
  <si>
    <t>keep 现状；用户理应在IFN里维护来自客户或者carrier的各种special rules</t>
  </si>
  <si>
    <t>1. IFN中是否每个选项都要出现在UI上，有些信息是冗余，比如是OFN (product type) 只需要看IFN(Plan name)而不需要看获取Plan Name 要用到的IFN
2.如果IFN都出现在UI上，怎么确保同一个信息上下联动性的问题（如改了下面的carrier，上面的也会跟着变)</t>
  </si>
  <si>
    <t>keep 现状；但是下一步可以考虑怎么精简掉一部分IFN</t>
  </si>
  <si>
    <t>Refinement</t>
  </si>
  <si>
    <t>1. 有的列名需要修改，现在的很多列名不够直接，用户很难直接理解列名的含义和要干啥, 如
- Max Length 的 Alert/Reminder 需要详细介绍Alert和Reminder的区别，让用户清晰的分辨两种场景。
- placeholder 不知道是干嘛的
- Data-Sync-SplitStartAt/Data-Sync-SplitEndAt 很容易填错或者漏填</t>
  </si>
  <si>
    <t>会考虑改名并提供详细的user guide，
会提供config audit bot， audit Data-Sync-SplitStartAt/Data-Sync-SplitEndAt 之类的有逻辑关系的columns</t>
  </si>
  <si>
    <t>Type 这一列需要有更明确的instruction, 比如日期相关的IFN比如type选成Date 意味着什么:
是否限制了日期的输入格式？选择了Date 类型之后能不能自动限制IFN为MM DD YYYY 格式？能不能兼容EN里多种多样的Date Format e.g M/D/YYYY, MM/DD/YYYY, MM/DD/YYYY T HHmmSSSS?</t>
  </si>
  <si>
    <t>会提供详细的user guide，</t>
  </si>
  <si>
    <t>Remove Character 的时候， é 是否被认为特殊符号？ 能不能移除é或者替换成普通字母e?</t>
  </si>
  <si>
    <t>Optional - 给Remove Character增加新的指令即可移除移除é或者替换成普通字母e</t>
  </si>
  <si>
    <t>Placeholder（IFN)这一列需要保留，但并不是每个IFN都需要，可以通过这一列为一些IFN指明how to fill，或者是体现格式要求，而不是为每个IFN填写提示词, like SSN XXX-XX-XXXX</t>
  </si>
  <si>
    <t>Done</t>
  </si>
  <si>
    <t>Gender 的Radio Button， race的checkbox, DOB相关的MM DD YYYY 之类的一个信息点被分成多个空的情况，能否在UI上横向展示而不是分成多行？Section1里需要怎么做，才能让UI上展示成一行？</t>
  </si>
  <si>
    <t>暂时列成多行
DD/MM/YYYY， 先分成三行， 之后在讨论</t>
  </si>
  <si>
    <t>Data-String-Trim的列名和方式不够直接，能否拆成Split Start on， Split end on 两列？ 或者可以只让用户只填写需要截取的位数嘛？ 例如SSN，现在是需要填写1,3; 4,5; 6,9, 能不能只让用户填写3；2；4？</t>
  </si>
  <si>
    <t>有格式或者固定选项要求的可以设置dropdown list</t>
  </si>
  <si>
    <t>不允许SDU修改的部分可以protect(如opex/tech 负责的部分)</t>
  </si>
  <si>
    <t>will protect</t>
  </si>
  <si>
    <t xml:space="preserve">有些SDU team不用DataSheet, 如何让用户高效准确的完成sec 1? 
提供一些DataSheet training？ 准备一个Data Sheet和 EN 页面上显示的信息点的mapping？ </t>
  </si>
  <si>
    <t>OpEx 完成Sec 3</t>
  </si>
  <si>
    <t>右键菜单里Select from IFN/OFN功能中，相似选项太多，容易选错</t>
  </si>
  <si>
    <t>keep 现状，依然通过右键菜单选择</t>
  </si>
  <si>
    <t>计算以一个IFN需要用到的其他IFN得名字需要在保证和Sec 1/3 里的IFN 名字一致，而不是直接使用Data in EN得名字. User 需要有一个转换：获取这个信息我要用到哪个Data in EN 里得点，这个点对应的IFN叫什么名字（need to refer to sec 3)</t>
  </si>
  <si>
    <t>对于SDU User 来说，这个问题不存在 - 因为SDU不了解Data in EN，SDU 更熟悉 来自EN得First Name， 从逻辑上来讲，SDU不会面临这样的挑战</t>
  </si>
  <si>
    <t>用户可能难以分辨哪些IFN 需要填写进Sec 2， 哪些不需要</t>
  </si>
  <si>
    <t>需要不断educate SDU, 把他们觉得很简单的判断/检索，document下来
OpEx 需要完成一部分（like dep ID 等SDU手动操作过程中完全用不到的point)</t>
  </si>
  <si>
    <t>能不能使用左右结构表示“或者”得关系，而不是使用上下结构</t>
  </si>
  <si>
    <t>Sec 2 &amp; 4 都是在使用左右表示“并且”，上下表示“或者”</t>
  </si>
  <si>
    <t>建议sec 3里面不管什么情况下section name和Data in EN Name 都写，减少理解成本</t>
  </si>
  <si>
    <t>全写上 name in EN， 并且使用&lt;Ignore&gt;填充空单元格</t>
  </si>
  <si>
    <t>无法cover既需要判断是否为空值，又需要calculation或者mapping的情况</t>
  </si>
  <si>
    <t>在rule engine增加 Not Empty 选项 
--- 需要对Not Empty 做解析</t>
  </si>
  <si>
    <t>Enrollment Start Date Dental
Enrollment Start Date Medical
Address Type - Home
Address type - Mailing Address</t>
  </si>
  <si>
    <t>无法cover从IFN的变量取值后需要根据mapping做转换的</t>
  </si>
  <si>
    <t>是不是可以有一个ELSE Function？</t>
  </si>
  <si>
    <t>Dropdown determination 和 value determination要用到的IFN不一致</t>
  </si>
  <si>
    <t>该问题不存在因为现在只会为EN request里的
1. 目前不需要</t>
  </si>
  <si>
    <t>*Product Type:
*Product:
*This employee will be billed with all other employees with this criteria:</t>
  </si>
  <si>
    <t>需要使用AND 进行判断，IFN 既不等于 A 又不等于B的情况</t>
  </si>
  <si>
    <t>需要考虑多重判断问题怎么解决</t>
  </si>
  <si>
    <t>只有Dropdown List 需求的列，在其他列不需要取值的情况下，其他列怎么标记 Ignore?</t>
  </si>
  <si>
    <t>使用&lt;Empty&gt; 标记不需要取值的空</t>
  </si>
  <si>
    <t>Marital Status:
Relation:</t>
  </si>
  <si>
    <t>Check box/Radio 怎么填写？</t>
  </si>
  <si>
    <r>
      <t xml:space="preserve">Confirm w mason
无需选择的情况以不列嘛？还是必须要列出来然后删掉 
</t>
    </r>
    <r>
      <rPr>
        <sz val="11"/>
        <color theme="9"/>
        <rFont val="Calibri"/>
        <family val="2"/>
        <scheme val="minor"/>
      </rPr>
      <t xml:space="preserve">True/False 都不需要选择的情况，可以不列，需要选择任意一个的，都要把another 列出来。 </t>
    </r>
  </si>
  <si>
    <t>Dropdown list里的选项可能会有重复，需要去重</t>
  </si>
  <si>
    <t>VBA 为UI .js 生成dropdown list的时候需要去重</t>
  </si>
  <si>
    <t xml:space="preserve">GroupName Plan/Product 相关的行数太多了，一定要放在Sec4吗？放的话只能平铺吗? </t>
  </si>
  <si>
    <t>暂时平铺，user可以加上group，方便 滚动查看， 且group不会影响VBA 处理config</t>
  </si>
  <si>
    <t>Plan Type - Medical; Plan Type Dental 按照OFN的不同，分成了多个table</t>
  </si>
  <si>
    <t>Not an issue, agree with this method</t>
  </si>
  <si>
    <t>Plan Type - Medical
Plan Type Dental</t>
  </si>
  <si>
    <t>如果carrier 网站上出现了新的field 怎么处理？Automation 怎么给与警示？</t>
  </si>
  <si>
    <t>什么场景下出现，
要不要handle
提供一些截屏， 那些Carrier, 在哪个屏幕之后，有无截屏 etc. 然后跟Norman Isaac Mason Betty discuss how to handle</t>
  </si>
  <si>
    <t>Sub CDHP Elections:
*Dental Clinic Number:</t>
  </si>
  <si>
    <t>现有的Config 结构能够填写但是需要align format</t>
  </si>
  <si>
    <t>有些alert也需要Not Empty 的判断， 然后需要做 不相等判断 - 现在不支持多重复杂判断</t>
  </si>
  <si>
    <t>有需要使用OFN自身的值进行Alert校验的情况</t>
  </si>
  <si>
    <t>OK to proceed</t>
  </si>
  <si>
    <t>判断多个字符串组合起来之后是否和另一组字符串的组合结果相等
（能不能启用 String 中的"+" condition？)</t>
  </si>
  <si>
    <t>可以把地址分成多个calculation table校验，而不是合并成一个校验</t>
  </si>
  <si>
    <t>IFN 里 有和变量类型相关的alert - Enrollment start date （需要判断是array还是单值)</t>
  </si>
  <si>
    <r>
      <t xml:space="preserve">逻辑上同一个coverage不可能出现两个 enrollment startdate 
</t>
    </r>
    <r>
      <rPr>
        <sz val="11"/>
        <color rgb="FFFF0000"/>
        <rFont val="Calibri"/>
        <family val="2"/>
        <scheme val="minor"/>
      </rPr>
      <t>但可能是 Sec 2 里的定位不够精确</t>
    </r>
  </si>
  <si>
    <t>Enrollment Start Date - Dental
Enrollment Start Date - Medical</t>
  </si>
  <si>
    <t>PCP 相关的Alert是前置到worklog 还是放在sec 5</t>
  </si>
  <si>
    <t>可以放在work log，不为这种case生成UI</t>
  </si>
  <si>
    <t>*Medical Group:
Do any dependents have: Different Provider than the Employee (No)</t>
  </si>
  <si>
    <t>Dependent 相关的只列了一次，和Sec 1 保持一致 (只列一次，默认能够循环处理)</t>
  </si>
  <si>
    <t>暂时先列一次</t>
  </si>
  <si>
    <t>Keep Numbers Only</t>
  </si>
  <si>
    <t>number</t>
  </si>
  <si>
    <t>Lost Other Insurance Coverage</t>
  </si>
  <si>
    <t>416490</t>
  </si>
  <si>
    <t>SPAAN Tech Inc.</t>
  </si>
  <si>
    <t>SPAAN TECH, INC.</t>
  </si>
  <si>
    <t>2025 G506OPT - Blue Choice Options PPO</t>
  </si>
  <si>
    <t>2025 Blue Choice Options PPO $3,500</t>
  </si>
  <si>
    <t>2025 Blue Choice Options PPO $6,000</t>
  </si>
  <si>
    <t>2025 Blue Choice PPO $2,000</t>
  </si>
  <si>
    <t>MICO20240 Blue Choice Options</t>
  </si>
  <si>
    <t>MIBAH2000 Blue Advantage HMO</t>
  </si>
  <si>
    <t>MIEEE3053 BlueEdge HSA</t>
  </si>
  <si>
    <t>2025 Blue Choice PPO $250</t>
  </si>
  <si>
    <t>0001 MIBAH2000</t>
  </si>
  <si>
    <t>0003 MIEEE3053</t>
  </si>
  <si>
    <t>Employee + Spouse + Any Children</t>
  </si>
  <si>
    <t>Employee + Any Children</t>
  </si>
  <si>
    <t>Compare to today, Hire Date is more than 1 year!</t>
  </si>
  <si>
    <t xml:space="preserve">This EE Enrolled into a PCP Plan, please handle it mannually. </t>
  </si>
  <si>
    <t>BLUECARE DIRECT</t>
  </si>
  <si>
    <t>HMO</t>
  </si>
  <si>
    <t>HMO OF ILLINOIS</t>
  </si>
  <si>
    <t>Label Width</t>
  </si>
  <si>
    <t>2025 Blue Access HMO $0</t>
  </si>
  <si>
    <t>2025 Blue Print PPO $0</t>
  </si>
  <si>
    <t>2025 P506PSN - Blue Precision HMO Plan</t>
  </si>
  <si>
    <t>2025 P503PPO - Blue PPO</t>
  </si>
  <si>
    <t>2025 G5K1OPT - Blue Choice Options HDHP</t>
  </si>
  <si>
    <t>IL ONLY - 2025 BlueChoice Select PPO (MIBSC2160)</t>
  </si>
  <si>
    <t>IL ONLY - 2025 BlueEdge Select HSA (MIESE3183)</t>
  </si>
  <si>
    <t>2025 BlueChoice Options HSA (MICOE3073)</t>
  </si>
  <si>
    <t>2025 BlueEdge HSA (MIEEE3083)</t>
  </si>
  <si>
    <t>2025 G507OPT - Blue Choice Gold PPO</t>
  </si>
  <si>
    <t>2025-G506OPT Blue Choice Gold PPO</t>
  </si>
  <si>
    <t>2025 S506OPT Blue Choice Silver PPO</t>
  </si>
  <si>
    <t>2025 S507OPT Blue Choice Silver HDHP (HSA Eligible Plan)</t>
  </si>
  <si>
    <t>2025 P506PSN - Blue Precision HMO</t>
  </si>
  <si>
    <t>2025 S531PSN Blue Precision Silver HMO</t>
  </si>
  <si>
    <t>2025 HMO $3,000 Deductible (MIBAV2152)</t>
  </si>
  <si>
    <t>2025 HSA - Blue Choice Select (MIESE4024)</t>
  </si>
  <si>
    <t>2025 PPO - Choice Options $4,000 Deductible (MIBCO2050)</t>
  </si>
  <si>
    <t>2025 HSA Choice Options $3,500 Deductible (MICOE3053)</t>
  </si>
  <si>
    <t>2025 G507OPT - Blue Choice Options PPO</t>
  </si>
  <si>
    <t>2025 G532PPO - Blue PPO</t>
  </si>
  <si>
    <t>2025 S507OPT - Blue Choice Options Silver HDHP</t>
  </si>
  <si>
    <t>2025 S507OPT - Blue Choice Options HDHP</t>
  </si>
  <si>
    <t>2025 P506PSN - Blue Precision HMO (IL Residents ONLY)</t>
  </si>
  <si>
    <t>2025 - S506OPT - Blue Choice Options PPO</t>
  </si>
  <si>
    <t>2025 G5J2PSN - Blue Precision HMO</t>
  </si>
  <si>
    <t>BCBSIL HSA Blue Choice Options $4,000 Plan 2025</t>
  </si>
  <si>
    <t>BCBSIL HSA Blue Choice Options $6,000 Plan 2025</t>
  </si>
  <si>
    <t>BCBSIL Blue Choice Options $5,000 Deductible PPO Plan 2025</t>
  </si>
  <si>
    <t>2024 Option #2 BCBS Choice Select PPO MIBCS2090</t>
  </si>
  <si>
    <t>2024 Option #4 BCBS Edge Select HDHP/HSA MIESE3153</t>
  </si>
  <si>
    <t>2024 Option #1 BCBS Blue Choice Options MIBCO2000</t>
  </si>
  <si>
    <t>2024 Option #3 BCBS Blue Choice Options HDHP/HSA MICOE4064</t>
  </si>
  <si>
    <t>2024 Option #5: BCBS Blue Advantage HMO</t>
  </si>
  <si>
    <t>0008 MIESE4024</t>
  </si>
  <si>
    <t>0007 MICOE3023</t>
  </si>
  <si>
    <t>0008 MICOE3013</t>
  </si>
  <si>
    <t>0009 MIBCO4074</t>
  </si>
  <si>
    <t>0012 MIBCS2090</t>
  </si>
  <si>
    <t>0018 MIESE3153</t>
  </si>
  <si>
    <t>0013 MIBCO2000</t>
  </si>
  <si>
    <t>0019 MICOE4064</t>
  </si>
  <si>
    <t>0011 MIBAV2120</t>
  </si>
  <si>
    <t>2025 DILHR04 - Dental PPO Plan</t>
  </si>
  <si>
    <t>2025 BCBS PPO DINLM49</t>
  </si>
  <si>
    <t>2025 BCBS DHMO DNCAP830</t>
  </si>
  <si>
    <t>2025 DILHR04 - Blue Care Dental PPO</t>
  </si>
  <si>
    <t>BlueCare Dental PPO-Low Plan 2025</t>
  </si>
  <si>
    <t>BlueCare Dental PPO-High Plan 2025</t>
  </si>
  <si>
    <t>2024 Dental Plan</t>
  </si>
  <si>
    <t>0004 DENTAL LOW</t>
  </si>
  <si>
    <t>0006 DENTAL HIGH</t>
  </si>
  <si>
    <t>0016 DINHR34</t>
  </si>
  <si>
    <t xml:space="preserve">The Effective date is more than 30 days to today, please close the UI and email to the carrier. </t>
  </si>
  <si>
    <t xml:space="preserve">Home Phone is same with Work Phone, please manually clear Work Phone fields! </t>
  </si>
  <si>
    <t xml:space="preserve">Home Phone is same with Mobile Phone, please manually clear Mobile Phone fields! </t>
  </si>
  <si>
    <t xml:space="preserve">Work Phone is same with Mobile Phone, please manually clear Mobile Phone fields!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</si>
</sst>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8" formatCode="&quot;$&quot;#,##0.00_);[Red]\(&quot;$&quot;#,##0.00\)"/>
  </numFmts>
  <fonts count="23">
    <font>
      <sz val="11"/>
      <color theme="1"/>
      <name val="Calibri"/>
      <family val="2"/>
      <scheme val="minor"/>
    </font>
    <font>
      <sz val="11"/>
      <color rgb="FF000000"/>
      <name val="Calibri"/>
      <family val="2"/>
    </font>
    <font>
      <b/>
      <sz val="11"/>
      <color theme="1"/>
      <name val="Calibri"/>
      <family val="2"/>
      <scheme val="minor"/>
    </font>
    <font>
      <sz val="11"/>
      <color rgb="FFC00000"/>
      <name val="Calibri"/>
      <family val="2"/>
      <scheme val="minor"/>
    </font>
    <font>
      <u/>
      <sz val="11"/>
      <color theme="10"/>
      <name val="Calibri"/>
      <family val="2"/>
      <scheme val="minor"/>
    </font>
    <font>
      <sz val="11"/>
      <color theme="0"/>
      <name val="Calibri"/>
      <family val="2"/>
    </font>
    <font>
      <b/>
      <sz val="11"/>
      <color theme="0"/>
      <name val="Calibri"/>
      <family val="2"/>
      <scheme val="minor"/>
    </font>
    <font>
      <sz val="11"/>
      <color theme="0"/>
      <name val="Calibri"/>
      <family val="2"/>
      <scheme val="minor"/>
    </font>
    <font>
      <sz val="11"/>
      <name val="Calibri"/>
      <family val="2"/>
      <scheme val="minor"/>
    </font>
    <font>
      <sz val="8"/>
      <name val="Calibri"/>
      <family val="2"/>
      <scheme val="minor"/>
    </font>
    <font>
      <i/>
      <sz val="10"/>
      <color theme="1"/>
      <name val="Calibri"/>
      <family val="2"/>
      <scheme val="minor"/>
    </font>
    <font>
      <sz val="11"/>
      <color rgb="FFFF0000"/>
      <name val="Calibri"/>
      <family val="2"/>
      <scheme val="minor"/>
    </font>
    <font>
      <b/>
      <sz val="11"/>
      <color rgb="FFFF0000"/>
      <name val="Calibri"/>
      <family val="2"/>
      <scheme val="minor"/>
    </font>
    <font>
      <b/>
      <sz val="9"/>
      <color indexed="81"/>
      <name val="Tahoma"/>
      <family val="2"/>
    </font>
    <font>
      <sz val="9"/>
      <color indexed="81"/>
      <name val="Tahoma"/>
      <family val="2"/>
    </font>
    <font>
      <i/>
      <sz val="11"/>
      <color theme="0"/>
      <name val="Calibri"/>
      <family val="2"/>
      <scheme val="minor"/>
    </font>
    <font>
      <sz val="11"/>
      <color rgb="FF000000"/>
      <name val="Calibri"/>
      <family val="2"/>
      <scheme val="minor"/>
    </font>
    <font>
      <i/>
      <sz val="11"/>
      <color theme="1"/>
      <name val="Calibri"/>
      <family val="2"/>
      <scheme val="minor"/>
    </font>
    <font>
      <sz val="11"/>
      <color theme="9"/>
      <name val="Calibri"/>
      <family val="2"/>
      <scheme val="minor"/>
    </font>
    <font>
      <sz val="9"/>
      <name val="Calibri"/>
      <family val="3"/>
      <charset val="134"/>
      <scheme val="minor"/>
    </font>
    <font>
      <b/>
      <sz val="12"/>
      <color theme="1"/>
      <name val="Calibri"/>
      <family val="2"/>
      <scheme val="minor"/>
    </font>
    <font>
      <sz val="12"/>
      <color theme="1"/>
      <name val="Calibri"/>
      <family val="2"/>
      <scheme val="minor"/>
    </font>
    <font>
      <b/>
      <sz val="11"/>
      <name val="Calibri"/>
      <family val="2"/>
      <scheme val="minor"/>
    </font>
  </fonts>
  <fills count="19">
    <fill>
      <patternFill patternType="none"/>
    </fill>
    <fill>
      <patternFill patternType="gray125"/>
    </fill>
    <fill>
      <patternFill patternType="solid">
        <fgColor theme="4"/>
        <bgColor indexed="64"/>
      </patternFill>
    </fill>
    <fill>
      <patternFill patternType="solid">
        <fgColor theme="4" tint="0.79998168889431442"/>
        <bgColor indexed="64"/>
      </patternFill>
    </fill>
    <fill>
      <patternFill patternType="solid">
        <fgColor rgb="FF00B050"/>
        <bgColor indexed="64"/>
      </patternFill>
    </fill>
    <fill>
      <patternFill patternType="solid">
        <fgColor theme="9" tint="0.79998168889431442"/>
        <bgColor indexed="64"/>
      </patternFill>
    </fill>
    <fill>
      <patternFill patternType="solid">
        <fgColor rgb="FFFFFF00"/>
        <bgColor indexed="64"/>
      </patternFill>
    </fill>
    <fill>
      <patternFill patternType="solid">
        <fgColor rgb="FFFF0000"/>
        <bgColor indexed="64"/>
      </patternFill>
    </fill>
    <fill>
      <patternFill patternType="solid">
        <fgColor rgb="FFFF8080"/>
        <bgColor indexed="64"/>
      </patternFill>
    </fill>
    <fill>
      <patternFill patternType="solid">
        <fgColor rgb="FF80FF80"/>
        <bgColor indexed="64"/>
      </patternFill>
    </fill>
    <fill>
      <patternFill patternType="solid">
        <fgColor theme="5" tint="0.79998168889431442"/>
        <bgColor indexed="64"/>
      </patternFill>
    </fill>
    <fill>
      <patternFill patternType="solid">
        <fgColor theme="9"/>
        <bgColor indexed="64"/>
      </patternFill>
    </fill>
    <fill>
      <patternFill patternType="solid">
        <fgColor theme="2" tint="-0.249977111117893"/>
        <bgColor indexed="64"/>
      </patternFill>
    </fill>
    <fill>
      <patternFill patternType="solid">
        <fgColor rgb="FF002060"/>
        <bgColor indexed="64"/>
      </patternFill>
    </fill>
    <fill>
      <patternFill patternType="solid">
        <fgColor theme="7"/>
        <bgColor indexed="64"/>
      </patternFill>
    </fill>
    <fill>
      <patternFill patternType="solid">
        <fgColor theme="7" tint="0.79998168889431442"/>
        <bgColor indexed="64"/>
      </patternFill>
    </fill>
    <fill>
      <patternFill patternType="solid">
        <fgColor rgb="FFFFDDDD"/>
        <bgColor indexed="64"/>
      </patternFill>
    </fill>
    <fill>
      <patternFill patternType="solid">
        <fgColor theme="8" tint="0.79998168889431442"/>
        <bgColor indexed="64"/>
      </patternFill>
    </fill>
    <fill>
      <patternFill patternType="solid">
        <fgColor theme="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top style="double">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34998626667073579"/>
      </top>
      <bottom/>
      <diagonal/>
    </border>
    <border>
      <left/>
      <right style="thin">
        <color theme="0" tint="-0.34998626667073579"/>
      </right>
      <top/>
      <bottom/>
      <diagonal/>
    </border>
    <border>
      <left/>
      <right style="thin">
        <color theme="0" tint="-0.34998626667073579"/>
      </right>
      <top/>
      <bottom style="thin">
        <color theme="0" tint="-0.34998626667073579"/>
      </bottom>
      <diagonal/>
    </border>
    <border>
      <left style="thin">
        <color theme="0" tint="-0.34998626667073579"/>
      </left>
      <right style="double">
        <color theme="0" tint="-0.34998626667073579"/>
      </right>
      <top style="thin">
        <color theme="0" tint="-0.34998626667073579"/>
      </top>
      <bottom style="thin">
        <color theme="0" tint="-0.34998626667073579"/>
      </bottom>
      <diagonal/>
    </border>
    <border>
      <left style="thin">
        <color theme="0" tint="-0.34998626667073579"/>
      </left>
      <right style="double">
        <color theme="0" tint="-0.34998626667073579"/>
      </right>
      <top style="thin">
        <color theme="0" tint="-0.34998626667073579"/>
      </top>
      <bottom/>
      <diagonal/>
    </border>
    <border>
      <left style="thin">
        <color theme="0" tint="-0.34998626667073579"/>
      </left>
      <right style="double">
        <color theme="0" tint="-0.34998626667073579"/>
      </right>
      <top/>
      <bottom/>
      <diagonal/>
    </border>
    <border>
      <left style="thin">
        <color theme="0" tint="-0.34998626667073579"/>
      </left>
      <right style="double">
        <color theme="0" tint="-0.34998626667073579"/>
      </right>
      <top/>
      <bottom style="thin">
        <color theme="0" tint="-0.34998626667073579"/>
      </bottom>
      <diagonal/>
    </border>
  </borders>
  <cellStyleXfs count="2">
    <xf numFmtId="0" fontId="0" fillId="0" borderId="0"/>
    <xf numFmtId="0" fontId="4" fillId="0" borderId="0" applyNumberFormat="0" applyFill="0" applyBorder="0" applyAlignment="0" applyProtection="0"/>
  </cellStyleXfs>
  <cellXfs count="167">
    <xf numFmtId="0" fontId="0" fillId="0" borderId="0" xfId="0"/>
    <xf numFmtId="22" fontId="0" fillId="0" borderId="0" xfId="0" applyNumberFormat="1"/>
    <xf numFmtId="49" fontId="0" fillId="0" borderId="0" xfId="0" applyNumberFormat="1"/>
    <xf numFmtId="49" fontId="1" fillId="0" borderId="0" xfId="0" applyNumberFormat="1" applyFont="1"/>
    <xf numFmtId="0" fontId="0" fillId="0" borderId="0" xfId="0" quotePrefix="1"/>
    <xf numFmtId="0" fontId="3" fillId="0" borderId="0" xfId="0" applyFont="1"/>
    <xf numFmtId="14" fontId="0" fillId="0" borderId="0" xfId="0" applyNumberFormat="1"/>
    <xf numFmtId="49" fontId="4" fillId="0" borderId="0" xfId="1" applyNumberFormat="1" applyFill="1"/>
    <xf numFmtId="49" fontId="5" fillId="2" borderId="0" xfId="0" applyNumberFormat="1" applyFont="1" applyFill="1"/>
    <xf numFmtId="49" fontId="1" fillId="3" borderId="0" xfId="0" applyNumberFormat="1" applyFont="1" applyFill="1"/>
    <xf numFmtId="8" fontId="0" fillId="0" borderId="0" xfId="0" applyNumberFormat="1"/>
    <xf numFmtId="6" fontId="0" fillId="0" borderId="0" xfId="0" applyNumberFormat="1"/>
    <xf numFmtId="49" fontId="2" fillId="0" borderId="0" xfId="0" applyNumberFormat="1" applyFont="1"/>
    <xf numFmtId="49" fontId="1" fillId="4" borderId="0" xfId="0" applyNumberFormat="1" applyFont="1" applyFill="1"/>
    <xf numFmtId="0" fontId="0" fillId="0" borderId="0" xfId="0" applyAlignment="1">
      <alignment horizontal="center" vertical="center" wrapText="1"/>
    </xf>
    <xf numFmtId="0" fontId="0" fillId="0" borderId="0" xfId="0" applyAlignment="1">
      <alignment horizontal="center" vertical="center"/>
    </xf>
    <xf numFmtId="0" fontId="0" fillId="0" borderId="1" xfId="0" applyBorder="1"/>
    <xf numFmtId="0" fontId="0" fillId="0" borderId="1" xfId="0" applyBorder="1" applyAlignment="1">
      <alignment horizontal="center" vertical="center"/>
    </xf>
    <xf numFmtId="0" fontId="0" fillId="0" borderId="1" xfId="0" applyBorder="1" applyAlignment="1">
      <alignment horizontal="center" vertical="center" wrapText="1"/>
    </xf>
    <xf numFmtId="0" fontId="6" fillId="2" borderId="1" xfId="0" applyFont="1"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2" fillId="6" borderId="3" xfId="0" applyFont="1" applyFill="1" applyBorder="1"/>
    <xf numFmtId="0" fontId="0" fillId="0" borderId="3" xfId="0" applyBorder="1"/>
    <xf numFmtId="0" fontId="6" fillId="2" borderId="1" xfId="0" applyFont="1" applyFill="1" applyBorder="1" applyAlignment="1">
      <alignment horizontal="center" vertical="center" wrapText="1"/>
    </xf>
    <xf numFmtId="0" fontId="0" fillId="0" borderId="1" xfId="0" applyBorder="1" applyAlignment="1">
      <alignment horizontal="left" vertical="center"/>
    </xf>
    <xf numFmtId="0" fontId="2" fillId="0" borderId="0" xfId="0" applyFont="1"/>
    <xf numFmtId="0" fontId="2" fillId="0" borderId="0" xfId="0" applyFont="1" applyAlignment="1">
      <alignment horizontal="left" vertical="center"/>
    </xf>
    <xf numFmtId="0" fontId="8" fillId="0" borderId="0" xfId="0" applyFont="1"/>
    <xf numFmtId="0" fontId="10" fillId="0" borderId="0" xfId="0" applyFont="1"/>
    <xf numFmtId="0" fontId="0" fillId="6" borderId="3" xfId="0" applyFill="1" applyBorder="1"/>
    <xf numFmtId="0" fontId="2" fillId="10" borderId="1" xfId="0" applyFont="1" applyFill="1" applyBorder="1" applyAlignment="1">
      <alignment horizontal="center" vertical="center" wrapText="1"/>
    </xf>
    <xf numFmtId="0" fontId="6" fillId="11" borderId="1" xfId="0" applyFont="1" applyFill="1" applyBorder="1" applyAlignment="1">
      <alignment horizontal="center" vertical="center" wrapText="1"/>
    </xf>
    <xf numFmtId="0" fontId="0" fillId="0" borderId="1" xfId="0" applyBorder="1" applyAlignment="1">
      <alignment wrapText="1"/>
    </xf>
    <xf numFmtId="0" fontId="0" fillId="12" borderId="1" xfId="0" applyFill="1" applyBorder="1" applyAlignment="1">
      <alignment horizontal="center" vertical="center"/>
    </xf>
    <xf numFmtId="0" fontId="0" fillId="0" borderId="0" xfId="0" applyAlignment="1">
      <alignment horizontal="left"/>
    </xf>
    <xf numFmtId="0" fontId="8" fillId="0" borderId="1" xfId="0" applyFont="1" applyBorder="1" applyAlignment="1">
      <alignment horizontal="left" vertical="center"/>
    </xf>
    <xf numFmtId="0" fontId="7" fillId="2" borderId="1" xfId="0" applyFont="1" applyFill="1" applyBorder="1" applyAlignment="1">
      <alignment horizontal="center" vertical="center"/>
    </xf>
    <xf numFmtId="0" fontId="8" fillId="0" borderId="1" xfId="0" applyFont="1" applyBorder="1" applyAlignment="1">
      <alignment horizontal="left" vertical="center" wrapText="1"/>
    </xf>
    <xf numFmtId="0" fontId="0" fillId="0" borderId="1" xfId="0" applyBorder="1" applyAlignment="1">
      <alignment horizontal="left" vertical="center" wrapText="1"/>
    </xf>
    <xf numFmtId="0" fontId="15" fillId="2"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left" vertical="center" wrapText="1"/>
    </xf>
    <xf numFmtId="0" fontId="16" fillId="5" borderId="1" xfId="0" applyFont="1" applyFill="1" applyBorder="1" applyAlignment="1">
      <alignment horizontal="left" vertical="center" wrapText="1"/>
    </xf>
    <xf numFmtId="0" fontId="0" fillId="5" borderId="1" xfId="0" applyFill="1" applyBorder="1" applyAlignment="1">
      <alignment horizontal="left" vertical="center" wrapText="1"/>
    </xf>
    <xf numFmtId="0" fontId="0" fillId="5" borderId="1" xfId="0" applyFill="1" applyBorder="1" applyAlignment="1">
      <alignment horizontal="left" vertical="center"/>
    </xf>
    <xf numFmtId="0" fontId="12" fillId="0" borderId="0" xfId="0" applyFont="1"/>
    <xf numFmtId="0" fontId="11" fillId="0" borderId="0" xfId="0" applyFont="1"/>
    <xf numFmtId="0" fontId="0" fillId="6" borderId="0" xfId="0" applyFill="1"/>
    <xf numFmtId="0" fontId="12" fillId="6" borderId="1" xfId="0" applyFont="1" applyFill="1" applyBorder="1" applyAlignment="1">
      <alignment horizontal="center" vertical="center"/>
    </xf>
    <xf numFmtId="0" fontId="2" fillId="6" borderId="0" xfId="0" applyFont="1" applyFill="1"/>
    <xf numFmtId="0" fontId="0" fillId="0" borderId="1" xfId="0" applyBorder="1" applyAlignment="1">
      <alignment vertical="center"/>
    </xf>
    <xf numFmtId="0" fontId="0" fillId="0" borderId="1" xfId="0" applyBorder="1" applyAlignment="1">
      <alignment vertical="center" wrapText="1"/>
    </xf>
    <xf numFmtId="0" fontId="6" fillId="2" borderId="1" xfId="0" applyFont="1" applyFill="1" applyBorder="1" applyAlignment="1">
      <alignment horizontal="left" vertical="center" wrapText="1"/>
    </xf>
    <xf numFmtId="0" fontId="0" fillId="5" borderId="0" xfId="0" applyFill="1"/>
    <xf numFmtId="0" fontId="0" fillId="0" borderId="0" xfId="0" applyAlignment="1">
      <alignment horizontal="center"/>
    </xf>
    <xf numFmtId="0" fontId="2" fillId="11" borderId="1" xfId="0" applyFont="1" applyFill="1" applyBorder="1" applyAlignment="1">
      <alignment horizontal="left" vertical="center" wrapText="1"/>
    </xf>
    <xf numFmtId="0" fontId="2" fillId="7" borderId="1" xfId="0" applyFont="1" applyFill="1" applyBorder="1" applyAlignment="1">
      <alignment horizontal="left" vertical="center" wrapText="1"/>
    </xf>
    <xf numFmtId="0" fontId="2" fillId="6" borderId="1" xfId="0" applyFont="1" applyFill="1" applyBorder="1" applyAlignment="1">
      <alignment horizontal="left" vertical="center" wrapText="1"/>
    </xf>
    <xf numFmtId="0" fontId="12" fillId="0" borderId="1" xfId="0" applyFont="1" applyBorder="1" applyAlignment="1">
      <alignment horizontal="left" vertical="center" wrapText="1"/>
    </xf>
    <xf numFmtId="0" fontId="6" fillId="13" borderId="1" xfId="0" applyFont="1" applyFill="1" applyBorder="1" applyAlignment="1">
      <alignment horizontal="left" vertical="center" wrapText="1"/>
    </xf>
    <xf numFmtId="0" fontId="6" fillId="13" borderId="1" xfId="0" applyFont="1" applyFill="1" applyBorder="1" applyAlignment="1">
      <alignment vertical="center" wrapText="1"/>
    </xf>
    <xf numFmtId="0" fontId="6" fillId="13" borderId="1" xfId="0" applyFont="1" applyFill="1" applyBorder="1" applyAlignment="1">
      <alignment horizontal="center" vertical="center" wrapText="1"/>
    </xf>
    <xf numFmtId="0" fontId="2" fillId="14" borderId="1" xfId="0" applyFont="1" applyFill="1" applyBorder="1" applyAlignment="1">
      <alignment horizontal="left" vertical="center" wrapText="1"/>
    </xf>
    <xf numFmtId="0" fontId="0" fillId="0" borderId="9" xfId="0" applyBorder="1" applyAlignment="1">
      <alignment horizontal="center" vertical="center" wrapText="1"/>
    </xf>
    <xf numFmtId="0" fontId="0" fillId="16" borderId="0" xfId="0" applyFill="1"/>
    <xf numFmtId="0" fontId="0" fillId="15" borderId="0" xfId="0" applyFill="1"/>
    <xf numFmtId="0" fontId="2" fillId="5" borderId="9" xfId="0" applyFont="1" applyFill="1" applyBorder="1" applyAlignment="1">
      <alignment horizontal="center" vertical="center" wrapText="1"/>
    </xf>
    <xf numFmtId="0" fontId="2" fillId="0" borderId="9" xfId="0" applyFont="1" applyBorder="1" applyAlignment="1">
      <alignment horizontal="center" vertical="center" wrapText="1"/>
    </xf>
    <xf numFmtId="0" fontId="2" fillId="15" borderId="9" xfId="0" applyFont="1" applyFill="1" applyBorder="1" applyAlignment="1">
      <alignment horizontal="center" vertical="center" wrapText="1"/>
    </xf>
    <xf numFmtId="0" fontId="0" fillId="16" borderId="9" xfId="0" applyFill="1" applyBorder="1" applyAlignment="1">
      <alignment horizontal="center" vertical="center" wrapText="1"/>
    </xf>
    <xf numFmtId="0" fontId="2" fillId="0" borderId="0" xfId="0" applyFont="1" applyAlignment="1">
      <alignment horizontal="center" vertical="center" wrapText="1"/>
    </xf>
    <xf numFmtId="0" fontId="0" fillId="15" borderId="9" xfId="0" applyFill="1" applyBorder="1" applyAlignment="1">
      <alignment horizontal="center" vertical="center" wrapText="1"/>
    </xf>
    <xf numFmtId="0" fontId="0" fillId="6" borderId="9" xfId="0" applyFill="1" applyBorder="1" applyAlignment="1">
      <alignment horizontal="center" vertical="center" wrapText="1"/>
    </xf>
    <xf numFmtId="14" fontId="0" fillId="0" borderId="0" xfId="0" applyNumberFormat="1" applyAlignment="1">
      <alignment horizontal="center" vertical="center" wrapText="1"/>
    </xf>
    <xf numFmtId="0" fontId="17" fillId="0" borderId="0" xfId="0" applyFont="1" applyAlignment="1">
      <alignment horizontal="center" vertical="center" wrapText="1"/>
    </xf>
    <xf numFmtId="49" fontId="0" fillId="0" borderId="0" xfId="0" applyNumberFormat="1" applyAlignment="1">
      <alignment horizontal="center" vertical="center" wrapText="1"/>
    </xf>
    <xf numFmtId="0" fontId="0" fillId="0" borderId="0" xfId="0" quotePrefix="1" applyAlignment="1">
      <alignment horizontal="center" vertical="center" wrapText="1"/>
    </xf>
    <xf numFmtId="0" fontId="2" fillId="3" borderId="0" xfId="0" applyFont="1" applyFill="1"/>
    <xf numFmtId="0" fontId="0" fillId="0" borderId="9" xfId="0" applyBorder="1" applyAlignment="1">
      <alignment horizontal="center" vertical="center"/>
    </xf>
    <xf numFmtId="0" fontId="8" fillId="0" borderId="9" xfId="0" applyFont="1" applyBorder="1" applyAlignment="1">
      <alignment horizontal="center" vertical="center"/>
    </xf>
    <xf numFmtId="0" fontId="21" fillId="0" borderId="8" xfId="0" applyFont="1" applyBorder="1" applyAlignment="1">
      <alignment horizontal="center" vertical="center" wrapText="1"/>
    </xf>
    <xf numFmtId="0" fontId="0" fillId="0" borderId="2" xfId="0" applyBorder="1" applyAlignment="1">
      <alignment horizontal="center" vertical="center" wrapText="1"/>
    </xf>
    <xf numFmtId="0" fontId="21" fillId="0" borderId="9" xfId="0" applyFont="1"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2" borderId="0" xfId="0" applyFill="1"/>
    <xf numFmtId="0" fontId="0" fillId="0" borderId="9" xfId="0" quotePrefix="1" applyBorder="1" applyAlignment="1">
      <alignment horizontal="center" vertical="center" wrapText="1"/>
    </xf>
    <xf numFmtId="49" fontId="0" fillId="0" borderId="9" xfId="0" applyNumberFormat="1" applyBorder="1" applyAlignment="1">
      <alignment horizontal="center" vertical="center" wrapText="1"/>
    </xf>
    <xf numFmtId="0" fontId="0" fillId="0" borderId="10" xfId="0" quotePrefix="1" applyBorder="1" applyAlignment="1">
      <alignment horizontal="center" vertical="center" wrapText="1"/>
    </xf>
    <xf numFmtId="49" fontId="0" fillId="0" borderId="10" xfId="0" applyNumberFormat="1" applyBorder="1" applyAlignment="1">
      <alignment horizontal="center" vertical="center" wrapText="1"/>
    </xf>
    <xf numFmtId="0" fontId="0" fillId="0" borderId="12" xfId="0" quotePrefix="1" applyBorder="1" applyAlignment="1">
      <alignment horizontal="center" vertical="center" wrapText="1"/>
    </xf>
    <xf numFmtId="49" fontId="0" fillId="0" borderId="12" xfId="0" applyNumberFormat="1" applyBorder="1" applyAlignment="1">
      <alignment horizontal="center" vertical="center" wrapText="1"/>
    </xf>
    <xf numFmtId="0" fontId="0" fillId="0" borderId="11" xfId="0" quotePrefix="1" applyBorder="1" applyAlignment="1">
      <alignment horizontal="center" vertical="center" wrapText="1"/>
    </xf>
    <xf numFmtId="0" fontId="21" fillId="0" borderId="13" xfId="0" applyFont="1" applyBorder="1" applyAlignment="1">
      <alignment horizontal="center" vertical="center" wrapText="1"/>
    </xf>
    <xf numFmtId="0" fontId="2" fillId="0" borderId="13" xfId="0" applyFont="1"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16" xfId="0" applyBorder="1" applyAlignment="1">
      <alignment horizontal="center" vertical="center" wrapText="1"/>
    </xf>
    <xf numFmtId="49" fontId="0" fillId="0" borderId="17" xfId="0" applyNumberFormat="1" applyBorder="1" applyAlignment="1">
      <alignment horizontal="center" vertical="center" wrapText="1"/>
    </xf>
    <xf numFmtId="49" fontId="0" fillId="0" borderId="18" xfId="0" applyNumberFormat="1" applyBorder="1" applyAlignment="1">
      <alignment horizontal="center" vertical="center" wrapText="1"/>
    </xf>
    <xf numFmtId="49" fontId="0" fillId="0" borderId="19" xfId="0" applyNumberFormat="1" applyBorder="1" applyAlignment="1">
      <alignment horizontal="center" vertical="center" wrapText="1"/>
    </xf>
    <xf numFmtId="0" fontId="0" fillId="0" borderId="19" xfId="0" applyBorder="1" applyAlignment="1">
      <alignment horizontal="center" vertical="center" wrapText="1"/>
    </xf>
    <xf numFmtId="0" fontId="0" fillId="0" borderId="20" xfId="0" applyBorder="1" applyAlignment="1">
      <alignment horizontal="center" vertical="center" wrapText="1"/>
    </xf>
    <xf numFmtId="0" fontId="0" fillId="0" borderId="17" xfId="0" applyBorder="1" applyAlignment="1">
      <alignment horizontal="center" vertical="center" wrapText="1"/>
    </xf>
    <xf numFmtId="0" fontId="0" fillId="0" borderId="18" xfId="0" applyBorder="1" applyAlignment="1">
      <alignment horizontal="center" vertical="center" wrapText="1"/>
    </xf>
    <xf numFmtId="0" fontId="0" fillId="17" borderId="0" xfId="0" applyFill="1"/>
    <xf numFmtId="0" fontId="22" fillId="17" borderId="9" xfId="0" applyFont="1" applyFill="1" applyBorder="1" applyAlignment="1">
      <alignment horizontal="center" vertical="center"/>
    </xf>
    <xf numFmtId="0" fontId="2" fillId="17" borderId="9" xfId="0" applyFont="1" applyFill="1" applyBorder="1" applyAlignment="1">
      <alignment horizontal="center" vertical="center" wrapText="1"/>
    </xf>
    <xf numFmtId="0" fontId="2" fillId="5" borderId="9" xfId="0" applyFont="1" applyFill="1" applyBorder="1" applyAlignment="1">
      <alignment horizontal="center" vertical="center"/>
    </xf>
    <xf numFmtId="0" fontId="2" fillId="0" borderId="9" xfId="0" applyFont="1" applyBorder="1" applyAlignment="1">
      <alignment horizontal="center" vertical="center"/>
    </xf>
    <xf numFmtId="0" fontId="2" fillId="15" borderId="9" xfId="0" applyFont="1" applyFill="1" applyBorder="1" applyAlignment="1">
      <alignment horizontal="center" vertical="center"/>
    </xf>
    <xf numFmtId="0" fontId="2" fillId="0" borderId="0" xfId="0" applyFont="1" applyAlignment="1">
      <alignment horizontal="center" vertical="center"/>
    </xf>
    <xf numFmtId="0" fontId="6" fillId="2" borderId="9" xfId="0" applyFont="1" applyFill="1" applyBorder="1" applyAlignment="1">
      <alignment horizontal="center" vertical="center" wrapText="1"/>
    </xf>
    <xf numFmtId="0" fontId="22" fillId="17" borderId="9" xfId="0" applyFont="1" applyFill="1" applyBorder="1" applyAlignment="1">
      <alignment horizontal="center" vertical="center" wrapText="1"/>
    </xf>
    <xf numFmtId="0" fontId="6" fillId="2" borderId="17" xfId="0" applyFont="1" applyFill="1" applyBorder="1" applyAlignment="1">
      <alignment horizontal="center" vertical="center" wrapText="1"/>
    </xf>
    <xf numFmtId="0" fontId="2" fillId="17" borderId="9" xfId="0" applyFont="1" applyFill="1"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left" vertical="center"/>
    </xf>
    <xf numFmtId="0" fontId="0" fillId="0" borderId="12" xfId="0" applyBorder="1" applyAlignment="1">
      <alignment horizontal="left" vertical="center"/>
    </xf>
    <xf numFmtId="0" fontId="0" fillId="0" borderId="11" xfId="0" applyBorder="1" applyAlignment="1">
      <alignment horizontal="left" vertical="center"/>
    </xf>
    <xf numFmtId="0" fontId="0" fillId="18" borderId="10" xfId="0" applyFill="1" applyBorder="1" applyAlignment="1">
      <alignment horizontal="center" vertical="center" wrapText="1"/>
    </xf>
    <xf numFmtId="0" fontId="0" fillId="18" borderId="12" xfId="0" applyFill="1" applyBorder="1" applyAlignment="1">
      <alignment horizontal="center" vertical="center" wrapText="1"/>
    </xf>
    <xf numFmtId="0" fontId="0" fillId="18" borderId="10" xfId="0" quotePrefix="1" applyFill="1" applyBorder="1" applyAlignment="1">
      <alignment horizontal="center" vertical="center" wrapText="1"/>
    </xf>
    <xf numFmtId="0" fontId="0" fillId="18" borderId="18" xfId="0" applyFill="1" applyBorder="1" applyAlignment="1">
      <alignment horizontal="center" vertical="center" wrapText="1"/>
    </xf>
    <xf numFmtId="0" fontId="0" fillId="18" borderId="14" xfId="0" applyFill="1" applyBorder="1" applyAlignment="1">
      <alignment horizontal="center" vertical="center" wrapText="1"/>
    </xf>
    <xf numFmtId="0" fontId="0" fillId="18" borderId="10" xfId="0" applyFill="1" applyBorder="1" applyAlignment="1">
      <alignment horizontal="left" vertical="center"/>
    </xf>
    <xf numFmtId="0" fontId="0" fillId="18" borderId="0" xfId="0" applyFill="1" applyAlignment="1">
      <alignment horizontal="center" vertical="center" wrapText="1"/>
    </xf>
    <xf numFmtId="0" fontId="0" fillId="18" borderId="10" xfId="0" applyFill="1" applyBorder="1" applyAlignment="1" applyProtection="1">
      <alignment horizontal="center" vertical="center" wrapText="1"/>
      <protection locked="0"/>
    </xf>
    <xf numFmtId="0" fontId="0" fillId="0" borderId="0" xfId="0" applyAlignment="1">
      <alignment horizontal="left" vertical="center"/>
    </xf>
    <xf numFmtId="0" fontId="20" fillId="15" borderId="9" xfId="0" applyFont="1" applyFill="1" applyBorder="1" applyAlignment="1">
      <alignment horizontal="center" vertical="center" wrapText="1"/>
    </xf>
    <xf numFmtId="0" fontId="20" fillId="15" borderId="17" xfId="0" applyFont="1" applyFill="1" applyBorder="1" applyAlignment="1">
      <alignment horizontal="center" vertical="center" wrapText="1"/>
    </xf>
    <xf numFmtId="0" fontId="20" fillId="5" borderId="9" xfId="0" applyFont="1" applyFill="1" applyBorder="1" applyAlignment="1">
      <alignment horizontal="center" vertical="center" wrapText="1"/>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6" borderId="1" xfId="0" applyFill="1" applyBorder="1" applyAlignment="1">
      <alignment horizontal="center"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xf>
    <xf numFmtId="0" fontId="0" fillId="7" borderId="5" xfId="0" applyFill="1" applyBorder="1" applyAlignment="1">
      <alignment horizontal="center" vertical="center"/>
    </xf>
    <xf numFmtId="0" fontId="0" fillId="7" borderId="7" xfId="0" applyFill="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xf>
    <xf numFmtId="0" fontId="0" fillId="0" borderId="1" xfId="0" applyBorder="1" applyAlignment="1">
      <alignment horizontal="center" vertical="center" wrapText="1"/>
    </xf>
    <xf numFmtId="0" fontId="0" fillId="9" borderId="5" xfId="0" applyFill="1" applyBorder="1" applyAlignment="1">
      <alignment horizontal="center" vertical="center"/>
    </xf>
    <xf numFmtId="0" fontId="0" fillId="9" borderId="7" xfId="0"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6" fillId="2" borderId="1" xfId="0" applyFont="1" applyFill="1" applyBorder="1" applyAlignment="1">
      <alignment horizontal="center" vertical="center"/>
    </xf>
    <xf numFmtId="0" fontId="0" fillId="9" borderId="6" xfId="0" applyFill="1" applyBorder="1" applyAlignment="1">
      <alignment horizontal="center" vertical="center"/>
    </xf>
    <xf numFmtId="0" fontId="0" fillId="0" borderId="6" xfId="0" applyBorder="1" applyAlignment="1">
      <alignment horizontal="center" vertical="center"/>
    </xf>
    <xf numFmtId="0" fontId="2" fillId="6" borderId="3" xfId="0" applyFont="1" applyFill="1" applyBorder="1" applyAlignment="1">
      <alignment horizontal="center"/>
    </xf>
    <xf numFmtId="0" fontId="0" fillId="9" borderId="1" xfId="0" applyFill="1" applyBorder="1" applyAlignment="1">
      <alignment horizontal="center" vertical="center" wrapText="1"/>
    </xf>
    <xf numFmtId="0" fontId="0" fillId="8" borderId="5" xfId="0" applyFill="1" applyBorder="1" applyAlignment="1">
      <alignment horizontal="center" vertical="center"/>
    </xf>
    <xf numFmtId="0" fontId="0" fillId="8" borderId="6" xfId="0" applyFill="1" applyBorder="1" applyAlignment="1">
      <alignment horizontal="center" vertical="center"/>
    </xf>
    <xf numFmtId="0" fontId="0" fillId="8" borderId="7" xfId="0" applyFill="1" applyBorder="1" applyAlignment="1">
      <alignment horizontal="center" vertical="center"/>
    </xf>
    <xf numFmtId="0" fontId="0" fillId="0" borderId="0" xfId="0" applyAlignment="1">
      <alignment horizontal="left" wrapText="1"/>
    </xf>
    <xf numFmtId="0" fontId="6" fillId="2" borderId="0" xfId="0" applyFont="1" applyFill="1" applyAlignment="1">
      <alignment horizontal="left" vertical="center"/>
    </xf>
    <xf numFmtId="0" fontId="2" fillId="10" borderId="0" xfId="0" applyFont="1" applyFill="1" applyAlignment="1">
      <alignment horizontal="left" vertical="center"/>
    </xf>
    <xf numFmtId="0" fontId="6" fillId="11" borderId="0" xfId="0" applyFont="1" applyFill="1" applyAlignment="1">
      <alignment horizontal="left" vertical="center"/>
    </xf>
    <xf numFmtId="0" fontId="0" fillId="9" borderId="4" xfId="0" applyFill="1" applyBorder="1" applyAlignment="1">
      <alignment horizontal="left" vertical="center"/>
    </xf>
    <xf numFmtId="0" fontId="0" fillId="9" borderId="0" xfId="0" applyFill="1" applyAlignment="1">
      <alignment horizontal="left" vertical="center"/>
    </xf>
    <xf numFmtId="0" fontId="0" fillId="8" borderId="4" xfId="0" applyFill="1" applyBorder="1" applyAlignment="1">
      <alignment horizontal="left" vertical="center"/>
    </xf>
    <xf numFmtId="0" fontId="0" fillId="8" borderId="0" xfId="0" applyFill="1" applyAlignment="1">
      <alignment horizontal="left" vertical="center"/>
    </xf>
  </cellXfs>
  <cellStyles count="2">
    <cellStyle name="Hyperlink" xfId="1" builtinId="8"/>
    <cellStyle name="Normal" xfId="0" builtinId="0"/>
  </cellStyles>
  <dxfs count="18">
    <dxf>
      <fill>
        <patternFill>
          <bgColor rgb="FFFFDDDD"/>
        </patternFill>
      </fill>
    </dxf>
    <dxf>
      <font>
        <color rgb="FF9C0006"/>
      </font>
      <fill>
        <patternFill>
          <bgColor rgb="FFFFC7CE"/>
        </patternFill>
      </fill>
    </dxf>
    <dxf>
      <font>
        <color auto="1"/>
      </font>
      <fill>
        <patternFill>
          <bgColor theme="6" tint="0.59996337778862885"/>
        </patternFill>
      </fill>
    </dxf>
    <dxf>
      <font>
        <color rgb="FFFF0000"/>
      </font>
      <fill>
        <patternFill>
          <bgColor rgb="FFFFFF00"/>
        </patternFill>
      </fill>
    </dxf>
    <dxf>
      <font>
        <color auto="1"/>
      </font>
      <fill>
        <patternFill>
          <bgColor theme="6" tint="0.59996337778862885"/>
        </patternFill>
      </fill>
    </dxf>
    <dxf>
      <font>
        <color auto="1"/>
      </font>
      <fill>
        <patternFill>
          <bgColor theme="6" tint="0.59996337778862885"/>
        </patternFill>
      </fill>
    </dxf>
    <dxf>
      <fill>
        <patternFill>
          <bgColor rgb="FFFFDDDD"/>
        </patternFill>
      </fill>
    </dxf>
    <dxf>
      <font>
        <color auto="1"/>
      </font>
      <fill>
        <patternFill>
          <bgColor rgb="FFFFDDDD"/>
        </patternFill>
      </fill>
    </dxf>
    <dxf>
      <fill>
        <patternFill>
          <bgColor rgb="FFFFDDDD"/>
        </patternFill>
      </fill>
    </dxf>
    <dxf>
      <font>
        <color rgb="FF9C0006"/>
      </font>
      <fill>
        <patternFill>
          <bgColor rgb="FFFFC7CE"/>
        </patternFill>
      </fill>
    </dxf>
    <dxf>
      <fill>
        <patternFill>
          <bgColor rgb="FFFFDDDD"/>
        </patternFill>
      </fill>
    </dxf>
    <dxf>
      <font>
        <color rgb="FF9C0006"/>
      </font>
      <fill>
        <patternFill>
          <bgColor rgb="FFFFC7CE"/>
        </patternFill>
      </fill>
    </dxf>
    <dxf>
      <fill>
        <patternFill>
          <bgColor rgb="FFFFDDDD"/>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DDD"/>
        </patternFill>
      </fill>
    </dxf>
    <dxf>
      <font>
        <color rgb="FF9C0006"/>
      </font>
      <fill>
        <patternFill>
          <bgColor rgb="FFFFC7CE"/>
        </patternFill>
      </fill>
    </dxf>
  </dxfs>
  <tableStyles count="0" defaultTableStyle="TableStyleMedium2" defaultPivotStyle="PivotStyleLight16"/>
  <colors>
    <mruColors>
      <color rgb="FFFFDDDD"/>
      <color rgb="FFFFD9D1"/>
      <color rgb="FFFEB0A0"/>
      <color rgb="FFFCEF9E"/>
      <color rgb="FFDDFAD2"/>
      <color rgb="FFD9FDD7"/>
      <color rgb="FFFF0000"/>
      <color rgb="FFFFFF00"/>
      <color rgb="FFFF808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590550</xdr:colOff>
          <xdr:row>2</xdr:row>
          <xdr:rowOff>123825</xdr:rowOff>
        </xdr:from>
        <xdr:to>
          <xdr:col>9</xdr:col>
          <xdr:colOff>133350</xdr:colOff>
          <xdr:row>5</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123825</xdr:colOff>
          <xdr:row>2</xdr:row>
          <xdr:rowOff>123825</xdr:rowOff>
        </xdr:from>
        <xdr:to>
          <xdr:col>12</xdr:col>
          <xdr:colOff>276225</xdr:colOff>
          <xdr:row>5</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1552575</xdr:colOff>
          <xdr:row>0</xdr:row>
          <xdr:rowOff>9525</xdr:rowOff>
        </xdr:from>
        <xdr:to>
          <xdr:col>1</xdr:col>
          <xdr:colOff>2924175</xdr:colOff>
          <xdr:row>0</xdr:row>
          <xdr:rowOff>523875</xdr:rowOff>
        </xdr:to>
        <xdr:sp macro="" textlink="">
          <xdr:nvSpPr>
            <xdr:cNvPr id="17459" name="Button 51" hidden="1">
              <a:extLst>
                <a:ext uri="{63B3BB69-23CF-44E3-9099-C40C66FF867C}">
                  <a14:compatExt spid="_x0000_s17459"/>
                </a:ext>
                <a:ext uri="{FF2B5EF4-FFF2-40B4-BE49-F238E27FC236}">
                  <a16:creationId xmlns:a16="http://schemas.microsoft.com/office/drawing/2014/main" id="{00000000-0008-0000-0200-00003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0</xdr:row>
          <xdr:rowOff>9525</xdr:rowOff>
        </xdr:from>
        <xdr:to>
          <xdr:col>3</xdr:col>
          <xdr:colOff>219075</xdr:colOff>
          <xdr:row>0</xdr:row>
          <xdr:rowOff>523875</xdr:rowOff>
        </xdr:to>
        <xdr:sp macro="" textlink="">
          <xdr:nvSpPr>
            <xdr:cNvPr id="17460" name="Button 52" hidden="1">
              <a:extLst>
                <a:ext uri="{63B3BB69-23CF-44E3-9099-C40C66FF867C}">
                  <a14:compatExt spid="_x0000_s17460"/>
                </a:ext>
                <a:ext uri="{FF2B5EF4-FFF2-40B4-BE49-F238E27FC236}">
                  <a16:creationId xmlns:a16="http://schemas.microsoft.com/office/drawing/2014/main" id="{00000000-0008-0000-0200-00003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2045073</xdr:colOff>
      <xdr:row>54</xdr:row>
      <xdr:rowOff>119062</xdr:rowOff>
    </xdr:from>
    <xdr:to>
      <xdr:col>3</xdr:col>
      <xdr:colOff>476250</xdr:colOff>
      <xdr:row>56</xdr:row>
      <xdr:rowOff>310402</xdr:rowOff>
    </xdr:to>
    <xdr:sp macro="" textlink="">
      <xdr:nvSpPr>
        <xdr:cNvPr id="2" name="Speech Bubble: Rectangle with Corners Rounded 1">
          <a:extLst>
            <a:ext uri="{FF2B5EF4-FFF2-40B4-BE49-F238E27FC236}">
              <a16:creationId xmlns:a16="http://schemas.microsoft.com/office/drawing/2014/main" id="{00000000-0008-0000-0600-000002000000}"/>
            </a:ext>
          </a:extLst>
        </xdr:cNvPr>
        <xdr:cNvSpPr/>
      </xdr:nvSpPr>
      <xdr:spPr>
        <a:xfrm>
          <a:off x="2045073" y="22586156"/>
          <a:ext cx="3622302" cy="953340"/>
        </a:xfrm>
        <a:prstGeom prst="wedgeRoundRectCallout">
          <a:avLst>
            <a:gd name="adj1" fmla="val -69166"/>
            <a:gd name="adj2" fmla="val 94551"/>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不要让用户误解</a:t>
          </a:r>
          <a:endParaRPr lang="en-US" altLang="zh-CN" sz="1100"/>
        </a:p>
        <a:p>
          <a:pPr algn="l"/>
          <a:r>
            <a:rPr lang="en-US" altLang="zh-CN" sz="1100"/>
            <a:t>Double Check</a:t>
          </a:r>
          <a:r>
            <a:rPr lang="en-US" altLang="zh-CN" sz="1100" baseline="0"/>
            <a:t> automation </a:t>
          </a:r>
          <a:r>
            <a:rPr lang="zh-CN" altLang="en-US" sz="1100" baseline="0"/>
            <a:t>输入的是什么。 </a:t>
          </a:r>
          <a:endParaRPr lang="en-US" altLang="zh-CN" sz="1100"/>
        </a:p>
        <a:p>
          <a:pPr algn="l"/>
          <a:r>
            <a:rPr lang="zh-CN" altLang="en-US" sz="1100"/>
            <a:t>澄清</a:t>
          </a:r>
          <a:r>
            <a:rPr lang="en-US" altLang="zh-CN" sz="1100"/>
            <a:t>automation </a:t>
          </a:r>
          <a:r>
            <a:rPr lang="zh-CN" altLang="en-US" sz="1100"/>
            <a:t>会按照</a:t>
          </a:r>
          <a:r>
            <a:rPr lang="en-US" altLang="zh-CN" sz="1100"/>
            <a:t>EN data </a:t>
          </a:r>
          <a:r>
            <a:rPr lang="zh-CN" altLang="en-US" sz="1100"/>
            <a:t>进行</a:t>
          </a:r>
          <a:r>
            <a:rPr lang="en-US" altLang="zh-CN" sz="1100"/>
            <a:t>enroll</a:t>
          </a:r>
          <a:r>
            <a:rPr lang="zh-CN" altLang="en-US" sz="1100" baseline="0"/>
            <a:t> </a:t>
          </a:r>
          <a:r>
            <a:rPr lang="en-US" altLang="zh-CN" sz="1100" baseline="0"/>
            <a:t>? </a:t>
          </a:r>
          <a:endParaRPr lang="en-US" sz="1100"/>
        </a:p>
      </xdr:txBody>
    </xdr:sp>
    <xdr:clientData/>
  </xdr:twoCellAnchor>
  <xdr:twoCellAnchor>
    <xdr:from>
      <xdr:col>0</xdr:col>
      <xdr:colOff>2045073</xdr:colOff>
      <xdr:row>46</xdr:row>
      <xdr:rowOff>119062</xdr:rowOff>
    </xdr:from>
    <xdr:to>
      <xdr:col>3</xdr:col>
      <xdr:colOff>476250</xdr:colOff>
      <xdr:row>48</xdr:row>
      <xdr:rowOff>310402</xdr:rowOff>
    </xdr:to>
    <xdr:sp macro="" textlink="">
      <xdr:nvSpPr>
        <xdr:cNvPr id="3" name="Speech Bubble: Rectangle with Corners Rounded 2">
          <a:extLst>
            <a:ext uri="{FF2B5EF4-FFF2-40B4-BE49-F238E27FC236}">
              <a16:creationId xmlns:a16="http://schemas.microsoft.com/office/drawing/2014/main" id="{00000000-0008-0000-0600-000003000000}"/>
            </a:ext>
          </a:extLst>
        </xdr:cNvPr>
        <xdr:cNvSpPr/>
      </xdr:nvSpPr>
      <xdr:spPr>
        <a:xfrm>
          <a:off x="2045073" y="10787062"/>
          <a:ext cx="4870077" cy="762840"/>
        </a:xfrm>
        <a:prstGeom prst="wedgeRoundRectCallout">
          <a:avLst>
            <a:gd name="adj1" fmla="val -69166"/>
            <a:gd name="adj2" fmla="val 94551"/>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不要让用户误解</a:t>
          </a:r>
          <a:endParaRPr lang="en-US" altLang="zh-CN" sz="1100"/>
        </a:p>
        <a:p>
          <a:pPr algn="l"/>
          <a:r>
            <a:rPr lang="en-US" altLang="zh-CN" sz="1100"/>
            <a:t>Double Check</a:t>
          </a:r>
          <a:r>
            <a:rPr lang="en-US" altLang="zh-CN" sz="1100" baseline="0"/>
            <a:t> automation </a:t>
          </a:r>
          <a:r>
            <a:rPr lang="zh-CN" altLang="en-US" sz="1100" baseline="0"/>
            <a:t>输入的是什么。 </a:t>
          </a:r>
          <a:endParaRPr lang="en-US" altLang="zh-CN" sz="1100"/>
        </a:p>
        <a:p>
          <a:pPr algn="l"/>
          <a:r>
            <a:rPr lang="zh-CN" altLang="en-US" sz="1100"/>
            <a:t>澄清</a:t>
          </a:r>
          <a:r>
            <a:rPr lang="en-US" altLang="zh-CN" sz="1100"/>
            <a:t>automation </a:t>
          </a:r>
          <a:r>
            <a:rPr lang="zh-CN" altLang="en-US" sz="1100"/>
            <a:t>会按照</a:t>
          </a:r>
          <a:r>
            <a:rPr lang="en-US" altLang="zh-CN" sz="1100"/>
            <a:t>EN data </a:t>
          </a:r>
          <a:r>
            <a:rPr lang="zh-CN" altLang="en-US" sz="1100"/>
            <a:t>进行</a:t>
          </a:r>
          <a:r>
            <a:rPr lang="en-US" altLang="zh-CN" sz="1100"/>
            <a:t>enroll</a:t>
          </a:r>
          <a:r>
            <a:rPr lang="zh-CN" altLang="en-US" sz="1100" baseline="0"/>
            <a:t> </a:t>
          </a:r>
          <a:r>
            <a:rPr lang="en-US" altLang="zh-CN" sz="1100" baseline="0"/>
            <a:t>? </a:t>
          </a:r>
          <a:endParaRPr lang="en-US" sz="1100"/>
        </a:p>
      </xdr:txBody>
    </xdr:sp>
    <xdr:clientData/>
  </xdr:twoCellAnchor>
  <xdr:twoCellAnchor>
    <xdr:from>
      <xdr:col>0</xdr:col>
      <xdr:colOff>2045073</xdr:colOff>
      <xdr:row>54</xdr:row>
      <xdr:rowOff>119062</xdr:rowOff>
    </xdr:from>
    <xdr:to>
      <xdr:col>3</xdr:col>
      <xdr:colOff>476250</xdr:colOff>
      <xdr:row>56</xdr:row>
      <xdr:rowOff>310402</xdr:rowOff>
    </xdr:to>
    <xdr:sp macro="" textlink="">
      <xdr:nvSpPr>
        <xdr:cNvPr id="4" name="Speech Bubble: Rectangle with Corners Rounded 3">
          <a:extLst>
            <a:ext uri="{FF2B5EF4-FFF2-40B4-BE49-F238E27FC236}">
              <a16:creationId xmlns:a16="http://schemas.microsoft.com/office/drawing/2014/main" id="{00000000-0008-0000-0600-000004000000}"/>
            </a:ext>
          </a:extLst>
        </xdr:cNvPr>
        <xdr:cNvSpPr/>
      </xdr:nvSpPr>
      <xdr:spPr>
        <a:xfrm>
          <a:off x="2045073" y="14597062"/>
          <a:ext cx="4870077" cy="829515"/>
        </a:xfrm>
        <a:prstGeom prst="wedgeRoundRectCallout">
          <a:avLst>
            <a:gd name="adj1" fmla="val -69166"/>
            <a:gd name="adj2" fmla="val 94551"/>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不要让用户误解</a:t>
          </a:r>
          <a:endParaRPr lang="en-US" altLang="zh-CN" sz="1100"/>
        </a:p>
        <a:p>
          <a:pPr algn="l"/>
          <a:r>
            <a:rPr lang="en-US" altLang="zh-CN" sz="1100"/>
            <a:t>Double Check</a:t>
          </a:r>
          <a:r>
            <a:rPr lang="en-US" altLang="zh-CN" sz="1100" baseline="0"/>
            <a:t> automation </a:t>
          </a:r>
          <a:r>
            <a:rPr lang="zh-CN" altLang="en-US" sz="1100" baseline="0"/>
            <a:t>输入的是什么。 </a:t>
          </a:r>
          <a:endParaRPr lang="en-US" altLang="zh-CN" sz="1100"/>
        </a:p>
        <a:p>
          <a:pPr algn="l"/>
          <a:r>
            <a:rPr lang="zh-CN" altLang="en-US" sz="1100"/>
            <a:t>澄清</a:t>
          </a:r>
          <a:r>
            <a:rPr lang="en-US" altLang="zh-CN" sz="1100"/>
            <a:t>automation </a:t>
          </a:r>
          <a:r>
            <a:rPr lang="zh-CN" altLang="en-US" sz="1100"/>
            <a:t>会按照</a:t>
          </a:r>
          <a:r>
            <a:rPr lang="en-US" altLang="zh-CN" sz="1100"/>
            <a:t>EN data </a:t>
          </a:r>
          <a:r>
            <a:rPr lang="zh-CN" altLang="en-US" sz="1100"/>
            <a:t>进行</a:t>
          </a:r>
          <a:r>
            <a:rPr lang="en-US" altLang="zh-CN" sz="1100"/>
            <a:t>enroll</a:t>
          </a:r>
          <a:r>
            <a:rPr lang="zh-CN" altLang="en-US" sz="1100" baseline="0"/>
            <a:t> </a:t>
          </a:r>
          <a:r>
            <a:rPr lang="en-US" altLang="zh-CN" sz="1100" baseline="0"/>
            <a:t>? </a:t>
          </a:r>
          <a:endParaRPr lang="en-US" sz="1100"/>
        </a:p>
      </xdr:txBody>
    </xdr:sp>
    <xdr:clientData/>
  </xdr:twoCellAnchor>
  <xdr:twoCellAnchor>
    <xdr:from>
      <xdr:col>0</xdr:col>
      <xdr:colOff>2045073</xdr:colOff>
      <xdr:row>46</xdr:row>
      <xdr:rowOff>119062</xdr:rowOff>
    </xdr:from>
    <xdr:to>
      <xdr:col>3</xdr:col>
      <xdr:colOff>476250</xdr:colOff>
      <xdr:row>48</xdr:row>
      <xdr:rowOff>310402</xdr:rowOff>
    </xdr:to>
    <xdr:sp macro="" textlink="">
      <xdr:nvSpPr>
        <xdr:cNvPr id="5" name="Speech Bubble: Rectangle with Corners Rounded 4">
          <a:extLst>
            <a:ext uri="{FF2B5EF4-FFF2-40B4-BE49-F238E27FC236}">
              <a16:creationId xmlns:a16="http://schemas.microsoft.com/office/drawing/2014/main" id="{00000000-0008-0000-0600-000005000000}"/>
            </a:ext>
          </a:extLst>
        </xdr:cNvPr>
        <xdr:cNvSpPr/>
      </xdr:nvSpPr>
      <xdr:spPr>
        <a:xfrm>
          <a:off x="2045073" y="10787062"/>
          <a:ext cx="4870077" cy="762840"/>
        </a:xfrm>
        <a:prstGeom prst="wedgeRoundRectCallout">
          <a:avLst>
            <a:gd name="adj1" fmla="val -69166"/>
            <a:gd name="adj2" fmla="val 94551"/>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不要让用户误解</a:t>
          </a:r>
          <a:endParaRPr lang="en-US" altLang="zh-CN" sz="1100"/>
        </a:p>
        <a:p>
          <a:pPr algn="l"/>
          <a:r>
            <a:rPr lang="en-US" altLang="zh-CN" sz="1100"/>
            <a:t>Double Check</a:t>
          </a:r>
          <a:r>
            <a:rPr lang="en-US" altLang="zh-CN" sz="1100" baseline="0"/>
            <a:t> automation </a:t>
          </a:r>
          <a:r>
            <a:rPr lang="zh-CN" altLang="en-US" sz="1100" baseline="0"/>
            <a:t>输入的是什么。 </a:t>
          </a:r>
          <a:endParaRPr lang="en-US" altLang="zh-CN" sz="1100"/>
        </a:p>
        <a:p>
          <a:pPr algn="l"/>
          <a:r>
            <a:rPr lang="zh-CN" altLang="en-US" sz="1100"/>
            <a:t>澄清</a:t>
          </a:r>
          <a:r>
            <a:rPr lang="en-US" altLang="zh-CN" sz="1100"/>
            <a:t>automation </a:t>
          </a:r>
          <a:r>
            <a:rPr lang="zh-CN" altLang="en-US" sz="1100"/>
            <a:t>会按照</a:t>
          </a:r>
          <a:r>
            <a:rPr lang="en-US" altLang="zh-CN" sz="1100"/>
            <a:t>EN data </a:t>
          </a:r>
          <a:r>
            <a:rPr lang="zh-CN" altLang="en-US" sz="1100"/>
            <a:t>进行</a:t>
          </a:r>
          <a:r>
            <a:rPr lang="en-US" altLang="zh-CN" sz="1100"/>
            <a:t>enroll</a:t>
          </a:r>
          <a:r>
            <a:rPr lang="zh-CN" altLang="en-US" sz="1100" baseline="0"/>
            <a:t> </a:t>
          </a:r>
          <a:r>
            <a:rPr lang="en-US" altLang="zh-CN" sz="1100" baseline="0"/>
            <a:t>?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1981200</xdr:colOff>
      <xdr:row>21</xdr:row>
      <xdr:rowOff>28576</xdr:rowOff>
    </xdr:from>
    <xdr:to>
      <xdr:col>4</xdr:col>
      <xdr:colOff>9524</xdr:colOff>
      <xdr:row>22</xdr:row>
      <xdr:rowOff>9525</xdr:rowOff>
    </xdr:to>
    <xdr:sp macro="" textlink="">
      <xdr:nvSpPr>
        <xdr:cNvPr id="4" name="Rectangle 3">
          <a:extLst>
            <a:ext uri="{FF2B5EF4-FFF2-40B4-BE49-F238E27FC236}">
              <a16:creationId xmlns:a16="http://schemas.microsoft.com/office/drawing/2014/main" id="{00000000-0008-0000-0700-000004000000}"/>
            </a:ext>
          </a:extLst>
        </xdr:cNvPr>
        <xdr:cNvSpPr/>
      </xdr:nvSpPr>
      <xdr:spPr>
        <a:xfrm>
          <a:off x="3248025" y="3876676"/>
          <a:ext cx="7038974"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9524</xdr:colOff>
      <xdr:row>21</xdr:row>
      <xdr:rowOff>114301</xdr:rowOff>
    </xdr:from>
    <xdr:to>
      <xdr:col>4</xdr:col>
      <xdr:colOff>285750</xdr:colOff>
      <xdr:row>21</xdr:row>
      <xdr:rowOff>147637</xdr:rowOff>
    </xdr:to>
    <xdr:cxnSp macro="">
      <xdr:nvCxnSpPr>
        <xdr:cNvPr id="5" name="Straight Arrow Connector 4">
          <a:extLst>
            <a:ext uri="{FF2B5EF4-FFF2-40B4-BE49-F238E27FC236}">
              <a16:creationId xmlns:a16="http://schemas.microsoft.com/office/drawing/2014/main" id="{00000000-0008-0000-0700-000005000000}"/>
            </a:ext>
          </a:extLst>
        </xdr:cNvPr>
        <xdr:cNvCxnSpPr>
          <a:stCxn id="8" idx="1"/>
          <a:endCxn id="4" idx="3"/>
        </xdr:cNvCxnSpPr>
      </xdr:nvCxnSpPr>
      <xdr:spPr>
        <a:xfrm flipH="1" flipV="1">
          <a:off x="10286999" y="3962401"/>
          <a:ext cx="276226" cy="3333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285750</xdr:colOff>
      <xdr:row>21</xdr:row>
      <xdr:rowOff>47624</xdr:rowOff>
    </xdr:from>
    <xdr:to>
      <xdr:col>9</xdr:col>
      <xdr:colOff>542925</xdr:colOff>
      <xdr:row>22</xdr:row>
      <xdr:rowOff>57149</xdr:rowOff>
    </xdr:to>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8886825" y="3286124"/>
          <a:ext cx="3305175" cy="200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1</xdr:col>
      <xdr:colOff>1971675</xdr:colOff>
      <xdr:row>22</xdr:row>
      <xdr:rowOff>19052</xdr:rowOff>
    </xdr:from>
    <xdr:to>
      <xdr:col>3</xdr:col>
      <xdr:colOff>4067174</xdr:colOff>
      <xdr:row>22</xdr:row>
      <xdr:rowOff>180976</xdr:rowOff>
    </xdr:to>
    <xdr:sp macro="" textlink="">
      <xdr:nvSpPr>
        <xdr:cNvPr id="13" name="Rectangle 12">
          <a:extLst>
            <a:ext uri="{FF2B5EF4-FFF2-40B4-BE49-F238E27FC236}">
              <a16:creationId xmlns:a16="http://schemas.microsoft.com/office/drawing/2014/main" id="{00000000-0008-0000-0700-00000D000000}"/>
            </a:ext>
          </a:extLst>
        </xdr:cNvPr>
        <xdr:cNvSpPr/>
      </xdr:nvSpPr>
      <xdr:spPr>
        <a:xfrm>
          <a:off x="3238500" y="4057652"/>
          <a:ext cx="7038974" cy="1619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4067174</xdr:colOff>
      <xdr:row>22</xdr:row>
      <xdr:rowOff>100014</xdr:rowOff>
    </xdr:from>
    <xdr:to>
      <xdr:col>4</xdr:col>
      <xdr:colOff>295275</xdr:colOff>
      <xdr:row>23</xdr:row>
      <xdr:rowOff>157162</xdr:rowOff>
    </xdr:to>
    <xdr:cxnSp macro="">
      <xdr:nvCxnSpPr>
        <xdr:cNvPr id="14" name="Straight Arrow Connector 13">
          <a:extLst>
            <a:ext uri="{FF2B5EF4-FFF2-40B4-BE49-F238E27FC236}">
              <a16:creationId xmlns:a16="http://schemas.microsoft.com/office/drawing/2014/main" id="{00000000-0008-0000-0700-00000E000000}"/>
            </a:ext>
          </a:extLst>
        </xdr:cNvPr>
        <xdr:cNvCxnSpPr>
          <a:stCxn id="16" idx="1"/>
          <a:endCxn id="13" idx="3"/>
        </xdr:cNvCxnSpPr>
      </xdr:nvCxnSpPr>
      <xdr:spPr>
        <a:xfrm flipH="1" flipV="1">
          <a:off x="10277474" y="4329114"/>
          <a:ext cx="295276" cy="24764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295275</xdr:colOff>
      <xdr:row>23</xdr:row>
      <xdr:rowOff>0</xdr:rowOff>
    </xdr:from>
    <xdr:to>
      <xdr:col>9</xdr:col>
      <xdr:colOff>552450</xdr:colOff>
      <xdr:row>24</xdr:row>
      <xdr:rowOff>123824</xdr:rowOff>
    </xdr:to>
    <xdr:sp macro="" textlink="">
      <xdr:nvSpPr>
        <xdr:cNvPr id="16" name="TextBox 15">
          <a:extLst>
            <a:ext uri="{FF2B5EF4-FFF2-40B4-BE49-F238E27FC236}">
              <a16:creationId xmlns:a16="http://schemas.microsoft.com/office/drawing/2014/main" id="{00000000-0008-0000-0700-000010000000}"/>
            </a:ext>
          </a:extLst>
        </xdr:cNvPr>
        <xdr:cNvSpPr txBox="1"/>
      </xdr:nvSpPr>
      <xdr:spPr>
        <a:xfrm>
          <a:off x="10572750" y="4419600"/>
          <a:ext cx="4419600" cy="3143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1</xdr:col>
      <xdr:colOff>1962149</xdr:colOff>
      <xdr:row>26</xdr:row>
      <xdr:rowOff>19051</xdr:rowOff>
    </xdr:from>
    <xdr:to>
      <xdr:col>4</xdr:col>
      <xdr:colOff>19049</xdr:colOff>
      <xdr:row>27</xdr:row>
      <xdr:rowOff>0</xdr:rowOff>
    </xdr:to>
    <xdr:sp macro="" textlink="">
      <xdr:nvSpPr>
        <xdr:cNvPr id="19" name="Rectangle 18">
          <a:extLst>
            <a:ext uri="{FF2B5EF4-FFF2-40B4-BE49-F238E27FC236}">
              <a16:creationId xmlns:a16="http://schemas.microsoft.com/office/drawing/2014/main" id="{00000000-0008-0000-0700-000013000000}"/>
            </a:ext>
          </a:extLst>
        </xdr:cNvPr>
        <xdr:cNvSpPr/>
      </xdr:nvSpPr>
      <xdr:spPr>
        <a:xfrm>
          <a:off x="2895599" y="4019551"/>
          <a:ext cx="5724525"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304800</xdr:colOff>
      <xdr:row>25</xdr:row>
      <xdr:rowOff>28574</xdr:rowOff>
    </xdr:from>
    <xdr:to>
      <xdr:col>9</xdr:col>
      <xdr:colOff>561975</xdr:colOff>
      <xdr:row>28</xdr:row>
      <xdr:rowOff>38099</xdr:rowOff>
    </xdr:to>
    <xdr:sp macro="" textlink="">
      <xdr:nvSpPr>
        <xdr:cNvPr id="20" name="TextBox 19">
          <a:extLst>
            <a:ext uri="{FF2B5EF4-FFF2-40B4-BE49-F238E27FC236}">
              <a16:creationId xmlns:a16="http://schemas.microsoft.com/office/drawing/2014/main" id="{00000000-0008-0000-0700-000014000000}"/>
            </a:ext>
          </a:extLst>
        </xdr:cNvPr>
        <xdr:cNvSpPr txBox="1"/>
      </xdr:nvSpPr>
      <xdr:spPr>
        <a:xfrm>
          <a:off x="10582275" y="4829174"/>
          <a:ext cx="4419600" cy="581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4</xdr:col>
      <xdr:colOff>19049</xdr:colOff>
      <xdr:row>26</xdr:row>
      <xdr:rowOff>104776</xdr:rowOff>
    </xdr:from>
    <xdr:to>
      <xdr:col>4</xdr:col>
      <xdr:colOff>304800</xdr:colOff>
      <xdr:row>26</xdr:row>
      <xdr:rowOff>128587</xdr:rowOff>
    </xdr:to>
    <xdr:cxnSp macro="">
      <xdr:nvCxnSpPr>
        <xdr:cNvPr id="21" name="Straight Arrow Connector 20">
          <a:extLst>
            <a:ext uri="{FF2B5EF4-FFF2-40B4-BE49-F238E27FC236}">
              <a16:creationId xmlns:a16="http://schemas.microsoft.com/office/drawing/2014/main" id="{00000000-0008-0000-0700-000015000000}"/>
            </a:ext>
          </a:extLst>
        </xdr:cNvPr>
        <xdr:cNvCxnSpPr>
          <a:stCxn id="20" idx="1"/>
          <a:endCxn id="19" idx="3"/>
        </xdr:cNvCxnSpPr>
      </xdr:nvCxnSpPr>
      <xdr:spPr>
        <a:xfrm flipH="1" flipV="1">
          <a:off x="10296524" y="5095876"/>
          <a:ext cx="285751" cy="2381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46</xdr:row>
      <xdr:rowOff>9525</xdr:rowOff>
    </xdr:from>
    <xdr:to>
      <xdr:col>2</xdr:col>
      <xdr:colOff>9525</xdr:colOff>
      <xdr:row>47</xdr:row>
      <xdr:rowOff>9525</xdr:rowOff>
    </xdr:to>
    <xdr:sp macro="" textlink="">
      <xdr:nvSpPr>
        <xdr:cNvPr id="36" name="Rectangle 35">
          <a:extLst>
            <a:ext uri="{FF2B5EF4-FFF2-40B4-BE49-F238E27FC236}">
              <a16:creationId xmlns:a16="http://schemas.microsoft.com/office/drawing/2014/main" id="{00000000-0008-0000-0700-000024000000}"/>
            </a:ext>
          </a:extLst>
        </xdr:cNvPr>
        <xdr:cNvSpPr/>
      </xdr:nvSpPr>
      <xdr:spPr>
        <a:xfrm>
          <a:off x="933450" y="7629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46</xdr:row>
      <xdr:rowOff>104775</xdr:rowOff>
    </xdr:from>
    <xdr:to>
      <xdr:col>2</xdr:col>
      <xdr:colOff>457198</xdr:colOff>
      <xdr:row>46</xdr:row>
      <xdr:rowOff>180975</xdr:rowOff>
    </xdr:to>
    <xdr:cxnSp macro="">
      <xdr:nvCxnSpPr>
        <xdr:cNvPr id="37" name="Straight Arrow Connector 36">
          <a:extLst>
            <a:ext uri="{FF2B5EF4-FFF2-40B4-BE49-F238E27FC236}">
              <a16:creationId xmlns:a16="http://schemas.microsoft.com/office/drawing/2014/main" id="{00000000-0008-0000-0700-000025000000}"/>
            </a:ext>
          </a:extLst>
        </xdr:cNvPr>
        <xdr:cNvCxnSpPr>
          <a:stCxn id="38" idx="1"/>
          <a:endCxn id="36" idx="3"/>
        </xdr:cNvCxnSpPr>
      </xdr:nvCxnSpPr>
      <xdr:spPr>
        <a:xfrm flipH="1" flipV="1">
          <a:off x="2943225" y="7724775"/>
          <a:ext cx="447673" cy="762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46</xdr:row>
      <xdr:rowOff>66674</xdr:rowOff>
    </xdr:from>
    <xdr:to>
      <xdr:col>3</xdr:col>
      <xdr:colOff>1323975</xdr:colOff>
      <xdr:row>47</xdr:row>
      <xdr:rowOff>104775</xdr:rowOff>
    </xdr:to>
    <xdr:sp macro="" textlink="">
      <xdr:nvSpPr>
        <xdr:cNvPr id="38" name="TextBox 37">
          <a:extLst>
            <a:ext uri="{FF2B5EF4-FFF2-40B4-BE49-F238E27FC236}">
              <a16:creationId xmlns:a16="http://schemas.microsoft.com/office/drawing/2014/main" id="{00000000-0008-0000-0700-000026000000}"/>
            </a:ext>
          </a:extLst>
        </xdr:cNvPr>
        <xdr:cNvSpPr txBox="1"/>
      </xdr:nvSpPr>
      <xdr:spPr>
        <a:xfrm>
          <a:off x="3390898" y="7686674"/>
          <a:ext cx="38100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单元格中包含</a:t>
          </a:r>
          <a:r>
            <a:rPr lang="en-US" altLang="zh-CN" sz="1100">
              <a:solidFill>
                <a:srgbClr val="FF0000"/>
              </a:solidFill>
            </a:rPr>
            <a:t>Mapping Table</a:t>
          </a:r>
          <a:r>
            <a:rPr lang="zh-CN" altLang="en-US" sz="1100">
              <a:solidFill>
                <a:srgbClr val="FF0000"/>
              </a:solidFill>
            </a:rPr>
            <a:t>，标志一个</a:t>
          </a:r>
          <a:r>
            <a:rPr lang="en-US" altLang="zh-CN" sz="1100">
              <a:solidFill>
                <a:srgbClr val="FF0000"/>
              </a:solidFill>
            </a:rPr>
            <a:t>mapping table</a:t>
          </a:r>
          <a:r>
            <a:rPr lang="zh-CN" altLang="en-US" sz="1100">
              <a:solidFill>
                <a:srgbClr val="FF0000"/>
              </a:solidFill>
            </a:rPr>
            <a:t>的开始</a:t>
          </a:r>
          <a:endParaRPr lang="en-US" sz="1100">
            <a:solidFill>
              <a:srgbClr val="FF0000"/>
            </a:solidFill>
          </a:endParaRPr>
        </a:p>
      </xdr:txBody>
    </xdr:sp>
    <xdr:clientData/>
  </xdr:twoCellAnchor>
  <xdr:twoCellAnchor>
    <xdr:from>
      <xdr:col>1</xdr:col>
      <xdr:colOff>0</xdr:colOff>
      <xdr:row>47</xdr:row>
      <xdr:rowOff>9525</xdr:rowOff>
    </xdr:from>
    <xdr:to>
      <xdr:col>2</xdr:col>
      <xdr:colOff>9525</xdr:colOff>
      <xdr:row>48</xdr:row>
      <xdr:rowOff>9525</xdr:rowOff>
    </xdr:to>
    <xdr:sp macro="" textlink="">
      <xdr:nvSpPr>
        <xdr:cNvPr id="48" name="Rectangle 47">
          <a:extLst>
            <a:ext uri="{FF2B5EF4-FFF2-40B4-BE49-F238E27FC236}">
              <a16:creationId xmlns:a16="http://schemas.microsoft.com/office/drawing/2014/main" id="{00000000-0008-0000-0700-000030000000}"/>
            </a:ext>
          </a:extLst>
        </xdr:cNvPr>
        <xdr:cNvSpPr/>
      </xdr:nvSpPr>
      <xdr:spPr>
        <a:xfrm>
          <a:off x="933450" y="78200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47</xdr:row>
      <xdr:rowOff>104775</xdr:rowOff>
    </xdr:from>
    <xdr:to>
      <xdr:col>2</xdr:col>
      <xdr:colOff>457198</xdr:colOff>
      <xdr:row>48</xdr:row>
      <xdr:rowOff>19050</xdr:rowOff>
    </xdr:to>
    <xdr:cxnSp macro="">
      <xdr:nvCxnSpPr>
        <xdr:cNvPr id="49" name="Straight Arrow Connector 48">
          <a:extLst>
            <a:ext uri="{FF2B5EF4-FFF2-40B4-BE49-F238E27FC236}">
              <a16:creationId xmlns:a16="http://schemas.microsoft.com/office/drawing/2014/main" id="{00000000-0008-0000-0700-000031000000}"/>
            </a:ext>
          </a:extLst>
        </xdr:cNvPr>
        <xdr:cNvCxnSpPr>
          <a:stCxn id="53" idx="1"/>
          <a:endCxn id="48" idx="3"/>
        </xdr:cNvCxnSpPr>
      </xdr:nvCxnSpPr>
      <xdr:spPr>
        <a:xfrm flipH="1" flipV="1">
          <a:off x="2943225" y="7915275"/>
          <a:ext cx="447673" cy="1047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47</xdr:row>
      <xdr:rowOff>95249</xdr:rowOff>
    </xdr:from>
    <xdr:to>
      <xdr:col>2</xdr:col>
      <xdr:colOff>952500</xdr:colOff>
      <xdr:row>48</xdr:row>
      <xdr:rowOff>133350</xdr:rowOff>
    </xdr:to>
    <xdr:sp macro="" textlink="">
      <xdr:nvSpPr>
        <xdr:cNvPr id="53" name="TextBox 52">
          <a:extLst>
            <a:ext uri="{FF2B5EF4-FFF2-40B4-BE49-F238E27FC236}">
              <a16:creationId xmlns:a16="http://schemas.microsoft.com/office/drawing/2014/main" id="{00000000-0008-0000-0700-000035000000}"/>
            </a:ext>
          </a:extLst>
        </xdr:cNvPr>
        <xdr:cNvSpPr txBox="1"/>
      </xdr:nvSpPr>
      <xdr:spPr>
        <a:xfrm>
          <a:off x="3390898" y="7905749"/>
          <a:ext cx="495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OFN</a:t>
          </a:r>
          <a:endParaRPr lang="en-US" sz="1100">
            <a:solidFill>
              <a:srgbClr val="FF0000"/>
            </a:solidFill>
          </a:endParaRPr>
        </a:p>
      </xdr:txBody>
    </xdr:sp>
    <xdr:clientData/>
  </xdr:twoCellAnchor>
  <xdr:twoCellAnchor>
    <xdr:from>
      <xdr:col>1</xdr:col>
      <xdr:colOff>0</xdr:colOff>
      <xdr:row>48</xdr:row>
      <xdr:rowOff>9525</xdr:rowOff>
    </xdr:from>
    <xdr:to>
      <xdr:col>2</xdr:col>
      <xdr:colOff>9525</xdr:colOff>
      <xdr:row>49</xdr:row>
      <xdr:rowOff>9525</xdr:rowOff>
    </xdr:to>
    <xdr:sp macro="" textlink="">
      <xdr:nvSpPr>
        <xdr:cNvPr id="57" name="Rectangle 56">
          <a:extLst>
            <a:ext uri="{FF2B5EF4-FFF2-40B4-BE49-F238E27FC236}">
              <a16:creationId xmlns:a16="http://schemas.microsoft.com/office/drawing/2014/main" id="{00000000-0008-0000-0700-000039000000}"/>
            </a:ext>
          </a:extLst>
        </xdr:cNvPr>
        <xdr:cNvSpPr/>
      </xdr:nvSpPr>
      <xdr:spPr>
        <a:xfrm>
          <a:off x="933450" y="8010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48</xdr:row>
      <xdr:rowOff>104775</xdr:rowOff>
    </xdr:from>
    <xdr:to>
      <xdr:col>2</xdr:col>
      <xdr:colOff>447673</xdr:colOff>
      <xdr:row>49</xdr:row>
      <xdr:rowOff>47625</xdr:rowOff>
    </xdr:to>
    <xdr:cxnSp macro="">
      <xdr:nvCxnSpPr>
        <xdr:cNvPr id="58" name="Straight Arrow Connector 57">
          <a:extLst>
            <a:ext uri="{FF2B5EF4-FFF2-40B4-BE49-F238E27FC236}">
              <a16:creationId xmlns:a16="http://schemas.microsoft.com/office/drawing/2014/main" id="{00000000-0008-0000-0700-00003A000000}"/>
            </a:ext>
          </a:extLst>
        </xdr:cNvPr>
        <xdr:cNvCxnSpPr>
          <a:stCxn id="60" idx="1"/>
          <a:endCxn id="57" idx="3"/>
        </xdr:cNvCxnSpPr>
      </xdr:nvCxnSpPr>
      <xdr:spPr>
        <a:xfrm flipH="1" flipV="1">
          <a:off x="2943225" y="8105775"/>
          <a:ext cx="438148" cy="1333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447673</xdr:colOff>
      <xdr:row>48</xdr:row>
      <xdr:rowOff>114299</xdr:rowOff>
    </xdr:from>
    <xdr:to>
      <xdr:col>2</xdr:col>
      <xdr:colOff>1285875</xdr:colOff>
      <xdr:row>49</xdr:row>
      <xdr:rowOff>171450</xdr:rowOff>
    </xdr:to>
    <xdr:sp macro="" textlink="">
      <xdr:nvSpPr>
        <xdr:cNvPr id="60" name="TextBox 59">
          <a:extLst>
            <a:ext uri="{FF2B5EF4-FFF2-40B4-BE49-F238E27FC236}">
              <a16:creationId xmlns:a16="http://schemas.microsoft.com/office/drawing/2014/main" id="{00000000-0008-0000-0700-00003C000000}"/>
            </a:ext>
          </a:extLst>
        </xdr:cNvPr>
        <xdr:cNvSpPr txBox="1"/>
      </xdr:nvSpPr>
      <xdr:spPr>
        <a:xfrm>
          <a:off x="3381373" y="8115299"/>
          <a:ext cx="838202" cy="2476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默认值</a:t>
          </a:r>
          <a:endParaRPr lang="en-US" sz="1100">
            <a:solidFill>
              <a:srgbClr val="FF0000"/>
            </a:solidFill>
          </a:endParaRPr>
        </a:p>
      </xdr:txBody>
    </xdr:sp>
    <xdr:clientData/>
  </xdr:twoCellAnchor>
  <xdr:twoCellAnchor>
    <xdr:from>
      <xdr:col>3</xdr:col>
      <xdr:colOff>2</xdr:colOff>
      <xdr:row>72</xdr:row>
      <xdr:rowOff>28575</xdr:rowOff>
    </xdr:from>
    <xdr:to>
      <xdr:col>5</xdr:col>
      <xdr:colOff>19051</xdr:colOff>
      <xdr:row>78</xdr:row>
      <xdr:rowOff>19050</xdr:rowOff>
    </xdr:to>
    <xdr:sp macro="" textlink="">
      <xdr:nvSpPr>
        <xdr:cNvPr id="69" name="Rectangle 68">
          <a:extLst>
            <a:ext uri="{FF2B5EF4-FFF2-40B4-BE49-F238E27FC236}">
              <a16:creationId xmlns:a16="http://schemas.microsoft.com/office/drawing/2014/main" id="{00000000-0008-0000-0700-000045000000}"/>
            </a:ext>
          </a:extLst>
        </xdr:cNvPr>
        <xdr:cNvSpPr/>
      </xdr:nvSpPr>
      <xdr:spPr>
        <a:xfrm>
          <a:off x="6210302" y="13439775"/>
          <a:ext cx="5400674" cy="1133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19051</xdr:colOff>
      <xdr:row>75</xdr:row>
      <xdr:rowOff>9525</xdr:rowOff>
    </xdr:from>
    <xdr:to>
      <xdr:col>5</xdr:col>
      <xdr:colOff>390523</xdr:colOff>
      <xdr:row>75</xdr:row>
      <xdr:rowOff>23813</xdr:rowOff>
    </xdr:to>
    <xdr:cxnSp macro="">
      <xdr:nvCxnSpPr>
        <xdr:cNvPr id="70" name="Straight Arrow Connector 69">
          <a:extLst>
            <a:ext uri="{FF2B5EF4-FFF2-40B4-BE49-F238E27FC236}">
              <a16:creationId xmlns:a16="http://schemas.microsoft.com/office/drawing/2014/main" id="{00000000-0008-0000-0700-000046000000}"/>
            </a:ext>
          </a:extLst>
        </xdr:cNvPr>
        <xdr:cNvCxnSpPr>
          <a:stCxn id="72" idx="1"/>
          <a:endCxn id="69" idx="3"/>
        </xdr:cNvCxnSpPr>
      </xdr:nvCxnSpPr>
      <xdr:spPr>
        <a:xfrm flipH="1">
          <a:off x="11610976" y="13992225"/>
          <a:ext cx="371472" cy="142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390523</xdr:colOff>
      <xdr:row>74</xdr:row>
      <xdr:rowOff>85724</xdr:rowOff>
    </xdr:from>
    <xdr:to>
      <xdr:col>9</xdr:col>
      <xdr:colOff>371475</xdr:colOff>
      <xdr:row>75</xdr:row>
      <xdr:rowOff>123825</xdr:rowOff>
    </xdr:to>
    <xdr:sp macro="" textlink="">
      <xdr:nvSpPr>
        <xdr:cNvPr id="72" name="TextBox 71">
          <a:extLst>
            <a:ext uri="{FF2B5EF4-FFF2-40B4-BE49-F238E27FC236}">
              <a16:creationId xmlns:a16="http://schemas.microsoft.com/office/drawing/2014/main" id="{00000000-0008-0000-0700-000048000000}"/>
            </a:ext>
          </a:extLst>
        </xdr:cNvPr>
        <xdr:cNvSpPr txBox="1"/>
      </xdr:nvSpPr>
      <xdr:spPr>
        <a:xfrm>
          <a:off x="11982448" y="13687424"/>
          <a:ext cx="28289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0</xdr:col>
      <xdr:colOff>1266824</xdr:colOff>
      <xdr:row>10</xdr:row>
      <xdr:rowOff>9526</xdr:rowOff>
    </xdr:from>
    <xdr:to>
      <xdr:col>3</xdr:col>
      <xdr:colOff>0</xdr:colOff>
      <xdr:row>11</xdr:row>
      <xdr:rowOff>9525</xdr:rowOff>
    </xdr:to>
    <xdr:sp macro="" textlink="">
      <xdr:nvSpPr>
        <xdr:cNvPr id="76" name="Rectangle 75">
          <a:extLst>
            <a:ext uri="{FF2B5EF4-FFF2-40B4-BE49-F238E27FC236}">
              <a16:creationId xmlns:a16="http://schemas.microsoft.com/office/drawing/2014/main" id="{00000000-0008-0000-0700-00004C000000}"/>
            </a:ext>
          </a:extLst>
        </xdr:cNvPr>
        <xdr:cNvSpPr/>
      </xdr:nvSpPr>
      <xdr:spPr>
        <a:xfrm>
          <a:off x="1266824" y="1933576"/>
          <a:ext cx="4943476"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10</xdr:row>
      <xdr:rowOff>104776</xdr:rowOff>
    </xdr:from>
    <xdr:to>
      <xdr:col>3</xdr:col>
      <xdr:colOff>257174</xdr:colOff>
      <xdr:row>11</xdr:row>
      <xdr:rowOff>80962</xdr:rowOff>
    </xdr:to>
    <xdr:cxnSp macro="">
      <xdr:nvCxnSpPr>
        <xdr:cNvPr id="77" name="Straight Arrow Connector 76">
          <a:extLst>
            <a:ext uri="{FF2B5EF4-FFF2-40B4-BE49-F238E27FC236}">
              <a16:creationId xmlns:a16="http://schemas.microsoft.com/office/drawing/2014/main" id="{00000000-0008-0000-0700-00004D000000}"/>
            </a:ext>
          </a:extLst>
        </xdr:cNvPr>
        <xdr:cNvCxnSpPr>
          <a:stCxn id="79" idx="1"/>
          <a:endCxn id="76" idx="3"/>
        </xdr:cNvCxnSpPr>
      </xdr:nvCxnSpPr>
      <xdr:spPr>
        <a:xfrm flipH="1" flipV="1">
          <a:off x="6210300" y="2028826"/>
          <a:ext cx="257174" cy="16668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257174</xdr:colOff>
      <xdr:row>9</xdr:row>
      <xdr:rowOff>9524</xdr:rowOff>
    </xdr:from>
    <xdr:to>
      <xdr:col>6</xdr:col>
      <xdr:colOff>228599</xdr:colOff>
      <xdr:row>13</xdr:row>
      <xdr:rowOff>152400</xdr:rowOff>
    </xdr:to>
    <xdr:sp macro="" textlink="">
      <xdr:nvSpPr>
        <xdr:cNvPr id="79" name="TextBox 78">
          <a:extLst>
            <a:ext uri="{FF2B5EF4-FFF2-40B4-BE49-F238E27FC236}">
              <a16:creationId xmlns:a16="http://schemas.microsoft.com/office/drawing/2014/main" id="{00000000-0008-0000-0700-00004F000000}"/>
            </a:ext>
          </a:extLst>
        </xdr:cNvPr>
        <xdr:cNvSpPr txBox="1"/>
      </xdr:nvSpPr>
      <xdr:spPr>
        <a:xfrm>
          <a:off x="6467474" y="1743074"/>
          <a:ext cx="6372225" cy="9048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endParaRPr lang="en-US" sz="1100">
            <a:solidFill>
              <a:srgbClr val="FF0000"/>
            </a:solidFill>
          </a:endParaRPr>
        </a:p>
      </xdr:txBody>
    </xdr:sp>
    <xdr:clientData/>
  </xdr:twoCellAnchor>
  <xdr:twoCellAnchor>
    <xdr:from>
      <xdr:col>1</xdr:col>
      <xdr:colOff>0</xdr:colOff>
      <xdr:row>80</xdr:row>
      <xdr:rowOff>19050</xdr:rowOff>
    </xdr:from>
    <xdr:to>
      <xdr:col>2</xdr:col>
      <xdr:colOff>9525</xdr:colOff>
      <xdr:row>81</xdr:row>
      <xdr:rowOff>19050</xdr:rowOff>
    </xdr:to>
    <xdr:sp macro="" textlink="">
      <xdr:nvSpPr>
        <xdr:cNvPr id="86" name="Rectangle 85">
          <a:extLst>
            <a:ext uri="{FF2B5EF4-FFF2-40B4-BE49-F238E27FC236}">
              <a16:creationId xmlns:a16="http://schemas.microsoft.com/office/drawing/2014/main" id="{00000000-0008-0000-0700-000056000000}"/>
            </a:ext>
          </a:extLst>
        </xdr:cNvPr>
        <xdr:cNvSpPr/>
      </xdr:nvSpPr>
      <xdr:spPr>
        <a:xfrm>
          <a:off x="1266825" y="14763750"/>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79</xdr:row>
      <xdr:rowOff>38100</xdr:rowOff>
    </xdr:from>
    <xdr:to>
      <xdr:col>2</xdr:col>
      <xdr:colOff>438148</xdr:colOff>
      <xdr:row>80</xdr:row>
      <xdr:rowOff>114300</xdr:rowOff>
    </xdr:to>
    <xdr:cxnSp macro="">
      <xdr:nvCxnSpPr>
        <xdr:cNvPr id="87" name="Straight Arrow Connector 86">
          <a:extLst>
            <a:ext uri="{FF2B5EF4-FFF2-40B4-BE49-F238E27FC236}">
              <a16:creationId xmlns:a16="http://schemas.microsoft.com/office/drawing/2014/main" id="{00000000-0008-0000-0700-000057000000}"/>
            </a:ext>
          </a:extLst>
        </xdr:cNvPr>
        <xdr:cNvCxnSpPr>
          <a:stCxn id="90" idx="1"/>
          <a:endCxn id="86" idx="3"/>
        </xdr:cNvCxnSpPr>
      </xdr:nvCxnSpPr>
      <xdr:spPr>
        <a:xfrm flipH="1">
          <a:off x="3276600" y="14592300"/>
          <a:ext cx="428623" cy="2667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438148</xdr:colOff>
      <xdr:row>78</xdr:row>
      <xdr:rowOff>114299</xdr:rowOff>
    </xdr:from>
    <xdr:to>
      <xdr:col>3</xdr:col>
      <xdr:colOff>285750</xdr:colOff>
      <xdr:row>79</xdr:row>
      <xdr:rowOff>152400</xdr:rowOff>
    </xdr:to>
    <xdr:sp macro="" textlink="">
      <xdr:nvSpPr>
        <xdr:cNvPr id="90" name="TextBox 89">
          <a:extLst>
            <a:ext uri="{FF2B5EF4-FFF2-40B4-BE49-F238E27FC236}">
              <a16:creationId xmlns:a16="http://schemas.microsoft.com/office/drawing/2014/main" id="{00000000-0008-0000-0700-00005A000000}"/>
            </a:ext>
          </a:extLst>
        </xdr:cNvPr>
        <xdr:cNvSpPr txBox="1"/>
      </xdr:nvSpPr>
      <xdr:spPr>
        <a:xfrm>
          <a:off x="3705223" y="14477999"/>
          <a:ext cx="27908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单元格中是</a:t>
          </a:r>
          <a:r>
            <a:rPr lang="en-US" altLang="zh-CN" sz="1100">
              <a:solidFill>
                <a:srgbClr val="FF0000"/>
              </a:solidFill>
            </a:rPr>
            <a:t>Alert</a:t>
          </a:r>
          <a:r>
            <a:rPr lang="zh-CN" altLang="en-US" sz="1100">
              <a:solidFill>
                <a:srgbClr val="FF0000"/>
              </a:solidFill>
            </a:rPr>
            <a:t>标识一个</a:t>
          </a:r>
          <a:r>
            <a:rPr lang="en-US" altLang="zh-CN" sz="1100">
              <a:solidFill>
                <a:srgbClr val="FF0000"/>
              </a:solidFill>
            </a:rPr>
            <a:t>Alert table</a:t>
          </a:r>
          <a:r>
            <a:rPr lang="zh-CN" altLang="en-US" sz="1100">
              <a:solidFill>
                <a:srgbClr val="FF0000"/>
              </a:solidFill>
            </a:rPr>
            <a:t>的开始</a:t>
          </a:r>
          <a:endParaRPr lang="en-US" sz="1100">
            <a:solidFill>
              <a:srgbClr val="FF0000"/>
            </a:solidFill>
          </a:endParaRPr>
        </a:p>
      </xdr:txBody>
    </xdr:sp>
    <xdr:clientData/>
  </xdr:twoCellAnchor>
  <xdr:twoCellAnchor>
    <xdr:from>
      <xdr:col>2</xdr:col>
      <xdr:colOff>2933701</xdr:colOff>
      <xdr:row>79</xdr:row>
      <xdr:rowOff>171451</xdr:rowOff>
    </xdr:from>
    <xdr:to>
      <xdr:col>3</xdr:col>
      <xdr:colOff>4048126</xdr:colOff>
      <xdr:row>82</xdr:row>
      <xdr:rowOff>38100</xdr:rowOff>
    </xdr:to>
    <xdr:sp macro="" textlink="">
      <xdr:nvSpPr>
        <xdr:cNvPr id="95" name="Rectangle 94">
          <a:extLst>
            <a:ext uri="{FF2B5EF4-FFF2-40B4-BE49-F238E27FC236}">
              <a16:creationId xmlns:a16="http://schemas.microsoft.com/office/drawing/2014/main" id="{00000000-0008-0000-0700-00005F000000}"/>
            </a:ext>
          </a:extLst>
        </xdr:cNvPr>
        <xdr:cNvSpPr/>
      </xdr:nvSpPr>
      <xdr:spPr>
        <a:xfrm>
          <a:off x="6200776" y="14725651"/>
          <a:ext cx="405765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4048126</xdr:colOff>
      <xdr:row>79</xdr:row>
      <xdr:rowOff>28575</xdr:rowOff>
    </xdr:from>
    <xdr:to>
      <xdr:col>4</xdr:col>
      <xdr:colOff>276223</xdr:colOff>
      <xdr:row>81</xdr:row>
      <xdr:rowOff>104776</xdr:rowOff>
    </xdr:to>
    <xdr:cxnSp macro="">
      <xdr:nvCxnSpPr>
        <xdr:cNvPr id="96" name="Straight Arrow Connector 95">
          <a:extLst>
            <a:ext uri="{FF2B5EF4-FFF2-40B4-BE49-F238E27FC236}">
              <a16:creationId xmlns:a16="http://schemas.microsoft.com/office/drawing/2014/main" id="{00000000-0008-0000-0700-000060000000}"/>
            </a:ext>
          </a:extLst>
        </xdr:cNvPr>
        <xdr:cNvCxnSpPr>
          <a:stCxn id="99" idx="1"/>
          <a:endCxn id="95" idx="3"/>
        </xdr:cNvCxnSpPr>
      </xdr:nvCxnSpPr>
      <xdr:spPr>
        <a:xfrm flipH="1">
          <a:off x="10258426" y="14582775"/>
          <a:ext cx="295272" cy="4572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276223</xdr:colOff>
      <xdr:row>78</xdr:row>
      <xdr:rowOff>104774</xdr:rowOff>
    </xdr:from>
    <xdr:to>
      <xdr:col>10</xdr:col>
      <xdr:colOff>571500</xdr:colOff>
      <xdr:row>79</xdr:row>
      <xdr:rowOff>142875</xdr:rowOff>
    </xdr:to>
    <xdr:sp macro="" textlink="">
      <xdr:nvSpPr>
        <xdr:cNvPr id="99" name="TextBox 98">
          <a:extLst>
            <a:ext uri="{FF2B5EF4-FFF2-40B4-BE49-F238E27FC236}">
              <a16:creationId xmlns:a16="http://schemas.microsoft.com/office/drawing/2014/main" id="{00000000-0008-0000-0700-000063000000}"/>
            </a:ext>
          </a:extLst>
        </xdr:cNvPr>
        <xdr:cNvSpPr txBox="1"/>
      </xdr:nvSpPr>
      <xdr:spPr>
        <a:xfrm>
          <a:off x="10553698" y="14468474"/>
          <a:ext cx="5067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endParaRPr lang="en-US" sz="1100">
            <a:solidFill>
              <a:srgbClr val="FF0000"/>
            </a:solidFill>
          </a:endParaRPr>
        </a:p>
      </xdr:txBody>
    </xdr:sp>
    <xdr:clientData/>
  </xdr:twoCellAnchor>
  <xdr:twoCellAnchor>
    <xdr:from>
      <xdr:col>5</xdr:col>
      <xdr:colOff>9525</xdr:colOff>
      <xdr:row>79</xdr:row>
      <xdr:rowOff>171451</xdr:rowOff>
    </xdr:from>
    <xdr:to>
      <xdr:col>6</xdr:col>
      <xdr:colOff>19050</xdr:colOff>
      <xdr:row>82</xdr:row>
      <xdr:rowOff>38100</xdr:rowOff>
    </xdr:to>
    <xdr:sp macro="" textlink="">
      <xdr:nvSpPr>
        <xdr:cNvPr id="103" name="Rectangle 102">
          <a:extLst>
            <a:ext uri="{FF2B5EF4-FFF2-40B4-BE49-F238E27FC236}">
              <a16:creationId xmlns:a16="http://schemas.microsoft.com/office/drawing/2014/main" id="{00000000-0008-0000-0700-000067000000}"/>
            </a:ext>
          </a:extLst>
        </xdr:cNvPr>
        <xdr:cNvSpPr/>
      </xdr:nvSpPr>
      <xdr:spPr>
        <a:xfrm>
          <a:off x="11601450" y="14916151"/>
          <a:ext cx="102870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19050</xdr:colOff>
      <xdr:row>80</xdr:row>
      <xdr:rowOff>161925</xdr:rowOff>
    </xdr:from>
    <xdr:to>
      <xdr:col>6</xdr:col>
      <xdr:colOff>333373</xdr:colOff>
      <xdr:row>81</xdr:row>
      <xdr:rowOff>104776</xdr:rowOff>
    </xdr:to>
    <xdr:cxnSp macro="">
      <xdr:nvCxnSpPr>
        <xdr:cNvPr id="104" name="Straight Arrow Connector 103">
          <a:extLst>
            <a:ext uri="{FF2B5EF4-FFF2-40B4-BE49-F238E27FC236}">
              <a16:creationId xmlns:a16="http://schemas.microsoft.com/office/drawing/2014/main" id="{00000000-0008-0000-0700-000068000000}"/>
            </a:ext>
          </a:extLst>
        </xdr:cNvPr>
        <xdr:cNvCxnSpPr>
          <a:stCxn id="106" idx="1"/>
          <a:endCxn id="103" idx="3"/>
        </xdr:cNvCxnSpPr>
      </xdr:nvCxnSpPr>
      <xdr:spPr>
        <a:xfrm flipH="1">
          <a:off x="12630150" y="15097125"/>
          <a:ext cx="314323" cy="1333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333373</xdr:colOff>
      <xdr:row>80</xdr:row>
      <xdr:rowOff>47624</xdr:rowOff>
    </xdr:from>
    <xdr:to>
      <xdr:col>12</xdr:col>
      <xdr:colOff>171450</xdr:colOff>
      <xdr:row>81</xdr:row>
      <xdr:rowOff>85725</xdr:rowOff>
    </xdr:to>
    <xdr:sp macro="" textlink="">
      <xdr:nvSpPr>
        <xdr:cNvPr id="106" name="TextBox 105">
          <a:extLst>
            <a:ext uri="{FF2B5EF4-FFF2-40B4-BE49-F238E27FC236}">
              <a16:creationId xmlns:a16="http://schemas.microsoft.com/office/drawing/2014/main" id="{00000000-0008-0000-0700-00006A000000}"/>
            </a:ext>
          </a:extLst>
        </xdr:cNvPr>
        <xdr:cNvSpPr txBox="1"/>
      </xdr:nvSpPr>
      <xdr:spPr>
        <a:xfrm>
          <a:off x="12944473" y="14792324"/>
          <a:ext cx="349567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S</a:t>
          </a:r>
          <a:r>
            <a:rPr lang="en-US" altLang="zh-CN" sz="1100">
              <a:solidFill>
                <a:srgbClr val="FF0000"/>
              </a:solidFill>
            </a:rPr>
            <a:t>how Alert at</a:t>
          </a:r>
          <a:r>
            <a:rPr lang="zh-CN" altLang="en-US" sz="1100">
              <a:solidFill>
                <a:srgbClr val="FF0000"/>
              </a:solidFill>
            </a:rPr>
            <a:t>列标识要将该</a:t>
          </a:r>
          <a:r>
            <a:rPr lang="en-US" altLang="zh-CN" sz="1100">
              <a:solidFill>
                <a:srgbClr val="FF0000"/>
              </a:solidFill>
            </a:rPr>
            <a:t>alert</a:t>
          </a:r>
          <a:r>
            <a:rPr lang="zh-CN" altLang="en-US" sz="1100">
              <a:solidFill>
                <a:srgbClr val="FF0000"/>
              </a:solidFill>
            </a:rPr>
            <a:t>展示在前端的哪个位置</a:t>
          </a:r>
          <a:endParaRPr lang="en-US" sz="1100">
            <a:solidFill>
              <a:srgbClr val="FF0000"/>
            </a:solidFill>
          </a:endParaRPr>
        </a:p>
      </xdr:txBody>
    </xdr:sp>
    <xdr:clientData/>
  </xdr:twoCellAnchor>
  <xdr:twoCellAnchor>
    <xdr:from>
      <xdr:col>0</xdr:col>
      <xdr:colOff>1257300</xdr:colOff>
      <xdr:row>56</xdr:row>
      <xdr:rowOff>0</xdr:rowOff>
    </xdr:from>
    <xdr:to>
      <xdr:col>3</xdr:col>
      <xdr:colOff>9525</xdr:colOff>
      <xdr:row>57</xdr:row>
      <xdr:rowOff>9525</xdr:rowOff>
    </xdr:to>
    <xdr:sp macro="" textlink="">
      <xdr:nvSpPr>
        <xdr:cNvPr id="110" name="Rectangle 109">
          <a:extLst>
            <a:ext uri="{FF2B5EF4-FFF2-40B4-BE49-F238E27FC236}">
              <a16:creationId xmlns:a16="http://schemas.microsoft.com/office/drawing/2014/main" id="{00000000-0008-0000-0700-00006E000000}"/>
            </a:ext>
          </a:extLst>
        </xdr:cNvPr>
        <xdr:cNvSpPr/>
      </xdr:nvSpPr>
      <xdr:spPr>
        <a:xfrm>
          <a:off x="1257300" y="10172700"/>
          <a:ext cx="4962525"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55</xdr:row>
      <xdr:rowOff>171450</xdr:rowOff>
    </xdr:from>
    <xdr:to>
      <xdr:col>3</xdr:col>
      <xdr:colOff>342898</xdr:colOff>
      <xdr:row>56</xdr:row>
      <xdr:rowOff>100013</xdr:rowOff>
    </xdr:to>
    <xdr:cxnSp macro="">
      <xdr:nvCxnSpPr>
        <xdr:cNvPr id="111" name="Straight Arrow Connector 110">
          <a:extLst>
            <a:ext uri="{FF2B5EF4-FFF2-40B4-BE49-F238E27FC236}">
              <a16:creationId xmlns:a16="http://schemas.microsoft.com/office/drawing/2014/main" id="{00000000-0008-0000-0700-00006F000000}"/>
            </a:ext>
          </a:extLst>
        </xdr:cNvPr>
        <xdr:cNvCxnSpPr>
          <a:stCxn id="115" idx="1"/>
          <a:endCxn id="110" idx="3"/>
        </xdr:cNvCxnSpPr>
      </xdr:nvCxnSpPr>
      <xdr:spPr>
        <a:xfrm flipH="1">
          <a:off x="6219825" y="10153650"/>
          <a:ext cx="333373" cy="1190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342898</xdr:colOff>
      <xdr:row>55</xdr:row>
      <xdr:rowOff>57149</xdr:rowOff>
    </xdr:from>
    <xdr:to>
      <xdr:col>3</xdr:col>
      <xdr:colOff>3590925</xdr:colOff>
      <xdr:row>56</xdr:row>
      <xdr:rowOff>95250</xdr:rowOff>
    </xdr:to>
    <xdr:sp macro="" textlink="">
      <xdr:nvSpPr>
        <xdr:cNvPr id="115" name="TextBox 114">
          <a:extLst>
            <a:ext uri="{FF2B5EF4-FFF2-40B4-BE49-F238E27FC236}">
              <a16:creationId xmlns:a16="http://schemas.microsoft.com/office/drawing/2014/main" id="{00000000-0008-0000-0700-000073000000}"/>
            </a:ext>
          </a:extLst>
        </xdr:cNvPr>
        <xdr:cNvSpPr txBox="1"/>
      </xdr:nvSpPr>
      <xdr:spPr>
        <a:xfrm>
          <a:off x="6553198" y="10039349"/>
          <a:ext cx="3248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有一些</a:t>
          </a:r>
          <a:r>
            <a:rPr lang="en-US" altLang="zh-CN" sz="1100">
              <a:solidFill>
                <a:srgbClr val="FF0000"/>
              </a:solidFill>
            </a:rPr>
            <a:t>alert</a:t>
          </a:r>
          <a:r>
            <a:rPr lang="zh-CN" altLang="en-US" sz="1100">
              <a:solidFill>
                <a:srgbClr val="FF0000"/>
              </a:solidFill>
            </a:rPr>
            <a:t>可以直接标识在对应的</a:t>
          </a:r>
          <a:r>
            <a:rPr lang="en-US" altLang="zh-CN" sz="1100">
              <a:solidFill>
                <a:srgbClr val="FF0000"/>
              </a:solidFill>
            </a:rPr>
            <a:t>mapping table</a:t>
          </a:r>
          <a:r>
            <a:rPr lang="zh-CN" altLang="en-US" sz="1100">
              <a:solidFill>
                <a:srgbClr val="FF0000"/>
              </a:solidFill>
            </a:rPr>
            <a:t>中</a:t>
          </a:r>
          <a:endParaRPr lang="en-US" sz="1100">
            <a:solidFill>
              <a:srgbClr val="FF0000"/>
            </a:solidFill>
          </a:endParaRPr>
        </a:p>
      </xdr:txBody>
    </xdr:sp>
    <xdr:clientData/>
  </xdr:twoCellAnchor>
  <xdr:twoCellAnchor>
    <xdr:from>
      <xdr:col>1</xdr:col>
      <xdr:colOff>1981201</xdr:colOff>
      <xdr:row>88</xdr:row>
      <xdr:rowOff>180976</xdr:rowOff>
    </xdr:from>
    <xdr:to>
      <xdr:col>2</xdr:col>
      <xdr:colOff>2933700</xdr:colOff>
      <xdr:row>92</xdr:row>
      <xdr:rowOff>9525</xdr:rowOff>
    </xdr:to>
    <xdr:sp macro="" textlink="">
      <xdr:nvSpPr>
        <xdr:cNvPr id="121" name="Rectangle 120">
          <a:extLst>
            <a:ext uri="{FF2B5EF4-FFF2-40B4-BE49-F238E27FC236}">
              <a16:creationId xmlns:a16="http://schemas.microsoft.com/office/drawing/2014/main" id="{00000000-0008-0000-0700-000079000000}"/>
            </a:ext>
          </a:extLst>
        </xdr:cNvPr>
        <xdr:cNvSpPr/>
      </xdr:nvSpPr>
      <xdr:spPr>
        <a:xfrm>
          <a:off x="3248026" y="17421226"/>
          <a:ext cx="2952749" cy="590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2933700</xdr:colOff>
      <xdr:row>87</xdr:row>
      <xdr:rowOff>133350</xdr:rowOff>
    </xdr:from>
    <xdr:to>
      <xdr:col>3</xdr:col>
      <xdr:colOff>247648</xdr:colOff>
      <xdr:row>90</xdr:row>
      <xdr:rowOff>95251</xdr:rowOff>
    </xdr:to>
    <xdr:cxnSp macro="">
      <xdr:nvCxnSpPr>
        <xdr:cNvPr id="122" name="Straight Arrow Connector 121">
          <a:extLst>
            <a:ext uri="{FF2B5EF4-FFF2-40B4-BE49-F238E27FC236}">
              <a16:creationId xmlns:a16="http://schemas.microsoft.com/office/drawing/2014/main" id="{00000000-0008-0000-0700-00007A000000}"/>
            </a:ext>
          </a:extLst>
        </xdr:cNvPr>
        <xdr:cNvCxnSpPr>
          <a:stCxn id="125" idx="1"/>
          <a:endCxn id="121" idx="3"/>
        </xdr:cNvCxnSpPr>
      </xdr:nvCxnSpPr>
      <xdr:spPr>
        <a:xfrm flipH="1">
          <a:off x="6200775" y="17183100"/>
          <a:ext cx="257173" cy="5334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247648</xdr:colOff>
      <xdr:row>87</xdr:row>
      <xdr:rowOff>19049</xdr:rowOff>
    </xdr:from>
    <xdr:to>
      <xdr:col>3</xdr:col>
      <xdr:colOff>1590675</xdr:colOff>
      <xdr:row>88</xdr:row>
      <xdr:rowOff>57150</xdr:rowOff>
    </xdr:to>
    <xdr:sp macro="" textlink="">
      <xdr:nvSpPr>
        <xdr:cNvPr id="125" name="TextBox 124">
          <a:extLst>
            <a:ext uri="{FF2B5EF4-FFF2-40B4-BE49-F238E27FC236}">
              <a16:creationId xmlns:a16="http://schemas.microsoft.com/office/drawing/2014/main" id="{00000000-0008-0000-0700-00007D000000}"/>
            </a:ext>
          </a:extLst>
        </xdr:cNvPr>
        <xdr:cNvSpPr txBox="1"/>
      </xdr:nvSpPr>
      <xdr:spPr>
        <a:xfrm>
          <a:off x="6457948" y="16497299"/>
          <a:ext cx="1343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多个指令纵向排列</a:t>
          </a:r>
          <a:endParaRPr lang="en-US" sz="1100">
            <a:solidFill>
              <a:srgbClr val="FF0000"/>
            </a:solidFill>
          </a:endParaRPr>
        </a:p>
      </xdr:txBody>
    </xdr:sp>
    <xdr:clientData/>
  </xdr:twoCellAnchor>
  <xdr:twoCellAnchor>
    <xdr:from>
      <xdr:col>2</xdr:col>
      <xdr:colOff>2933700</xdr:colOff>
      <xdr:row>90</xdr:row>
      <xdr:rowOff>180976</xdr:rowOff>
    </xdr:from>
    <xdr:to>
      <xdr:col>4</xdr:col>
      <xdr:colOff>0</xdr:colOff>
      <xdr:row>92</xdr:row>
      <xdr:rowOff>9525</xdr:rowOff>
    </xdr:to>
    <xdr:sp macro="" textlink="">
      <xdr:nvSpPr>
        <xdr:cNvPr id="129" name="Rectangle 128">
          <a:extLst>
            <a:ext uri="{FF2B5EF4-FFF2-40B4-BE49-F238E27FC236}">
              <a16:creationId xmlns:a16="http://schemas.microsoft.com/office/drawing/2014/main" id="{00000000-0008-0000-0700-000081000000}"/>
            </a:ext>
          </a:extLst>
        </xdr:cNvPr>
        <xdr:cNvSpPr/>
      </xdr:nvSpPr>
      <xdr:spPr>
        <a:xfrm>
          <a:off x="6200775" y="17230726"/>
          <a:ext cx="4076700" cy="209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0</xdr:colOff>
      <xdr:row>90</xdr:row>
      <xdr:rowOff>66675</xdr:rowOff>
    </xdr:from>
    <xdr:to>
      <xdr:col>4</xdr:col>
      <xdr:colOff>409573</xdr:colOff>
      <xdr:row>91</xdr:row>
      <xdr:rowOff>95251</xdr:rowOff>
    </xdr:to>
    <xdr:cxnSp macro="">
      <xdr:nvCxnSpPr>
        <xdr:cNvPr id="130" name="Straight Arrow Connector 129">
          <a:extLst>
            <a:ext uri="{FF2B5EF4-FFF2-40B4-BE49-F238E27FC236}">
              <a16:creationId xmlns:a16="http://schemas.microsoft.com/office/drawing/2014/main" id="{00000000-0008-0000-0700-000082000000}"/>
            </a:ext>
          </a:extLst>
        </xdr:cNvPr>
        <xdr:cNvCxnSpPr>
          <a:stCxn id="133" idx="1"/>
          <a:endCxn id="129" idx="3"/>
        </xdr:cNvCxnSpPr>
      </xdr:nvCxnSpPr>
      <xdr:spPr>
        <a:xfrm flipH="1">
          <a:off x="10277475" y="17116425"/>
          <a:ext cx="409573" cy="2190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409573</xdr:colOff>
      <xdr:row>89</xdr:row>
      <xdr:rowOff>142874</xdr:rowOff>
    </xdr:from>
    <xdr:to>
      <xdr:col>8</xdr:col>
      <xdr:colOff>114300</xdr:colOff>
      <xdr:row>90</xdr:row>
      <xdr:rowOff>180975</xdr:rowOff>
    </xdr:to>
    <xdr:sp macro="" textlink="">
      <xdr:nvSpPr>
        <xdr:cNvPr id="133" name="TextBox 132">
          <a:extLst>
            <a:ext uri="{FF2B5EF4-FFF2-40B4-BE49-F238E27FC236}">
              <a16:creationId xmlns:a16="http://schemas.microsoft.com/office/drawing/2014/main" id="{00000000-0008-0000-0700-000085000000}"/>
            </a:ext>
          </a:extLst>
        </xdr:cNvPr>
        <xdr:cNvSpPr txBox="1"/>
      </xdr:nvSpPr>
      <xdr:spPr>
        <a:xfrm>
          <a:off x="10687048" y="17002124"/>
          <a:ext cx="325755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如有参数，则将需要的参数横向列在对应指令之后</a:t>
          </a:r>
          <a:endParaRPr lang="en-US" sz="1100">
            <a:solidFill>
              <a:srgbClr val="FF0000"/>
            </a:solidFill>
          </a:endParaRPr>
        </a:p>
      </xdr:txBody>
    </xdr:sp>
    <xdr:clientData/>
  </xdr:twoCellAnchor>
  <xdr:twoCellAnchor>
    <xdr:from>
      <xdr:col>6</xdr:col>
      <xdr:colOff>142875</xdr:colOff>
      <xdr:row>44</xdr:row>
      <xdr:rowOff>9525</xdr:rowOff>
    </xdr:from>
    <xdr:to>
      <xdr:col>12</xdr:col>
      <xdr:colOff>228600</xdr:colOff>
      <xdr:row>46</xdr:row>
      <xdr:rowOff>171450</xdr:rowOff>
    </xdr:to>
    <xdr:sp macro="" textlink="">
      <xdr:nvSpPr>
        <xdr:cNvPr id="51" name="Speech Bubble: Rectangle with Corners Rounded 50">
          <a:extLst>
            <a:ext uri="{FF2B5EF4-FFF2-40B4-BE49-F238E27FC236}">
              <a16:creationId xmlns:a16="http://schemas.microsoft.com/office/drawing/2014/main" id="{00000000-0008-0000-0700-000033000000}"/>
            </a:ext>
          </a:extLst>
        </xdr:cNvPr>
        <xdr:cNvSpPr/>
      </xdr:nvSpPr>
      <xdr:spPr>
        <a:xfrm>
          <a:off x="12753975" y="8458200"/>
          <a:ext cx="3743325" cy="552450"/>
        </a:xfrm>
        <a:prstGeom prst="wedgeRoundRectCallout">
          <a:avLst>
            <a:gd name="adj1" fmla="val -77576"/>
            <a:gd name="adj2" fmla="val -97718"/>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zh-CN" altLang="en-US" sz="1100"/>
            <a:t>：是否直接规定所有的</a:t>
          </a:r>
          <a:r>
            <a:rPr lang="en-US" altLang="zh-CN" sz="1100"/>
            <a:t>section name</a:t>
          </a:r>
          <a:r>
            <a:rPr lang="zh-CN" altLang="en-US" sz="1100"/>
            <a:t>，</a:t>
          </a:r>
          <a:r>
            <a:rPr lang="en-US" altLang="zh-CN" sz="1100"/>
            <a:t>subsection name</a:t>
          </a:r>
          <a:r>
            <a:rPr lang="zh-CN" altLang="en-US" sz="1100"/>
            <a:t>，</a:t>
          </a:r>
          <a:r>
            <a:rPr lang="en-US" altLang="zh-CN" sz="1100"/>
            <a:t>data in EN</a:t>
          </a:r>
          <a:r>
            <a:rPr lang="en-US" altLang="zh-CN" sz="1100" baseline="0"/>
            <a:t> name</a:t>
          </a:r>
          <a:r>
            <a:rPr lang="zh-CN" altLang="en-US" sz="1100" baseline="0"/>
            <a:t>都需要填写，以保证格式统一</a:t>
          </a:r>
          <a:endParaRPr lang="en-US" sz="1100"/>
        </a:p>
      </xdr:txBody>
    </xdr:sp>
    <xdr:clientData/>
  </xdr:twoCellAnchor>
  <xdr:twoCellAnchor>
    <xdr:from>
      <xdr:col>3</xdr:col>
      <xdr:colOff>3352800</xdr:colOff>
      <xdr:row>12</xdr:row>
      <xdr:rowOff>171449</xdr:rowOff>
    </xdr:from>
    <xdr:to>
      <xdr:col>8</xdr:col>
      <xdr:colOff>428626</xdr:colOff>
      <xdr:row>14</xdr:row>
      <xdr:rowOff>104775</xdr:rowOff>
    </xdr:to>
    <xdr:sp macro="" textlink="">
      <xdr:nvSpPr>
        <xdr:cNvPr id="15" name="Speech Bubble: Rectangle with Corners Rounded 14">
          <a:extLst>
            <a:ext uri="{FF2B5EF4-FFF2-40B4-BE49-F238E27FC236}">
              <a16:creationId xmlns:a16="http://schemas.microsoft.com/office/drawing/2014/main" id="{00000000-0008-0000-0700-00000F000000}"/>
            </a:ext>
          </a:extLst>
        </xdr:cNvPr>
        <xdr:cNvSpPr/>
      </xdr:nvSpPr>
      <xdr:spPr>
        <a:xfrm>
          <a:off x="9563100" y="2476499"/>
          <a:ext cx="4695826" cy="314326"/>
        </a:xfrm>
        <a:prstGeom prst="wedgeRoundRectCallout">
          <a:avLst>
            <a:gd name="adj1" fmla="val -75443"/>
            <a:gd name="adj2" fmla="val -64169"/>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altLang="zh-CN" sz="1100" baseline="0">
              <a:solidFill>
                <a:schemeClr val="lt1"/>
              </a:solidFill>
              <a:effectLst/>
              <a:latin typeface="+mn-lt"/>
              <a:ea typeface="+mn-ea"/>
              <a:cs typeface="+mn-cs"/>
            </a:rPr>
            <a:t>Pending</a:t>
          </a:r>
          <a:r>
            <a:rPr lang="zh-CN" altLang="en-US" sz="1100" baseline="0">
              <a:solidFill>
                <a:schemeClr val="lt1"/>
              </a:solidFill>
              <a:effectLst/>
              <a:latin typeface="+mn-lt"/>
              <a:ea typeface="+mn-ea"/>
              <a:cs typeface="+mn-cs"/>
            </a:rPr>
            <a:t>：对于需要用户自建的</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（中间过渡</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），该如何和用户说明</a:t>
          </a:r>
          <a:endParaRPr lang="en-US">
            <a:effectLst/>
          </a:endParaRPr>
        </a:p>
        <a:p>
          <a:pPr algn="l"/>
          <a:endParaRPr lang="en-US" sz="1100"/>
        </a:p>
      </xdr:txBody>
    </xdr:sp>
    <xdr:clientData/>
  </xdr:twoCellAnchor>
  <xdr:twoCellAnchor>
    <xdr:from>
      <xdr:col>2</xdr:col>
      <xdr:colOff>38101</xdr:colOff>
      <xdr:row>2</xdr:row>
      <xdr:rowOff>19051</xdr:rowOff>
    </xdr:from>
    <xdr:to>
      <xdr:col>3</xdr:col>
      <xdr:colOff>885826</xdr:colOff>
      <xdr:row>3</xdr:row>
      <xdr:rowOff>85726</xdr:rowOff>
    </xdr:to>
    <xdr:sp macro="" textlink="">
      <xdr:nvSpPr>
        <xdr:cNvPr id="17" name="Speech Bubble: Rectangle with Corners Rounded 16">
          <a:extLst>
            <a:ext uri="{FF2B5EF4-FFF2-40B4-BE49-F238E27FC236}">
              <a16:creationId xmlns:a16="http://schemas.microsoft.com/office/drawing/2014/main" id="{00000000-0008-0000-0700-000011000000}"/>
            </a:ext>
          </a:extLst>
        </xdr:cNvPr>
        <xdr:cNvSpPr/>
      </xdr:nvSpPr>
      <xdr:spPr>
        <a:xfrm>
          <a:off x="3305176" y="400051"/>
          <a:ext cx="3790950" cy="266700"/>
        </a:xfrm>
        <a:prstGeom prst="wedgeRoundRectCallout">
          <a:avLst>
            <a:gd name="adj1" fmla="val -84551"/>
            <a:gd name="adj2" fmla="val 56887"/>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en-US" altLang="zh-CN" sz="1100" baseline="0"/>
            <a:t> </a:t>
          </a:r>
          <a:r>
            <a:rPr lang="zh-CN" altLang="en-US" sz="1100" baseline="0"/>
            <a:t>和</a:t>
          </a:r>
          <a:r>
            <a:rPr lang="en-US" altLang="zh-CN" sz="1100" baseline="0"/>
            <a:t>UI</a:t>
          </a:r>
          <a:r>
            <a:rPr lang="zh-CN" altLang="en-US" sz="1100" baseline="0"/>
            <a:t>相关的列和填写规则是否包含进这版</a:t>
          </a:r>
          <a:r>
            <a:rPr lang="en-US" altLang="zh-CN" sz="1100" baseline="0"/>
            <a:t>section 1</a:t>
          </a:r>
          <a:endParaRPr lang="en-US" sz="1100"/>
        </a:p>
      </xdr:txBody>
    </xdr:sp>
    <xdr:clientData/>
  </xdr:twoCellAnchor>
  <xdr:twoCellAnchor>
    <xdr:from>
      <xdr:col>3</xdr:col>
      <xdr:colOff>4048126</xdr:colOff>
      <xdr:row>40</xdr:row>
      <xdr:rowOff>161924</xdr:rowOff>
    </xdr:from>
    <xdr:to>
      <xdr:col>5</xdr:col>
      <xdr:colOff>1</xdr:colOff>
      <xdr:row>42</xdr:row>
      <xdr:rowOff>190499</xdr:rowOff>
    </xdr:to>
    <xdr:sp macro="" textlink="">
      <xdr:nvSpPr>
        <xdr:cNvPr id="3" name="Rectangle 2">
          <a:extLst>
            <a:ext uri="{FF2B5EF4-FFF2-40B4-BE49-F238E27FC236}">
              <a16:creationId xmlns:a16="http://schemas.microsoft.com/office/drawing/2014/main" id="{00000000-0008-0000-0700-000003000000}"/>
            </a:ext>
          </a:extLst>
        </xdr:cNvPr>
        <xdr:cNvSpPr/>
      </xdr:nvSpPr>
      <xdr:spPr>
        <a:xfrm>
          <a:off x="10258426" y="7839074"/>
          <a:ext cx="1333500" cy="4095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xdr:colOff>
      <xdr:row>40</xdr:row>
      <xdr:rowOff>147637</xdr:rowOff>
    </xdr:from>
    <xdr:to>
      <xdr:col>5</xdr:col>
      <xdr:colOff>428622</xdr:colOff>
      <xdr:row>41</xdr:row>
      <xdr:rowOff>176212</xdr:rowOff>
    </xdr:to>
    <xdr:cxnSp macro="">
      <xdr:nvCxnSpPr>
        <xdr:cNvPr id="6" name="Straight Arrow Connector 5">
          <a:extLst>
            <a:ext uri="{FF2B5EF4-FFF2-40B4-BE49-F238E27FC236}">
              <a16:creationId xmlns:a16="http://schemas.microsoft.com/office/drawing/2014/main" id="{00000000-0008-0000-0700-000006000000}"/>
            </a:ext>
          </a:extLst>
        </xdr:cNvPr>
        <xdr:cNvCxnSpPr>
          <a:stCxn id="12" idx="1"/>
          <a:endCxn id="3" idx="3"/>
        </xdr:cNvCxnSpPr>
      </xdr:nvCxnSpPr>
      <xdr:spPr>
        <a:xfrm flipH="1">
          <a:off x="11591926" y="7824787"/>
          <a:ext cx="428621"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428622</xdr:colOff>
      <xdr:row>39</xdr:row>
      <xdr:rowOff>190499</xdr:rowOff>
    </xdr:from>
    <xdr:to>
      <xdr:col>12</xdr:col>
      <xdr:colOff>581024</xdr:colOff>
      <xdr:row>41</xdr:row>
      <xdr:rowOff>114300</xdr:rowOff>
    </xdr:to>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12020547" y="7667624"/>
          <a:ext cx="4829177" cy="314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p>
      </xdr:txBody>
    </xdr:sp>
    <xdr:clientData/>
  </xdr:twoCellAnchor>
  <xdr:twoCellAnchor>
    <xdr:from>
      <xdr:col>0</xdr:col>
      <xdr:colOff>1257298</xdr:colOff>
      <xdr:row>34</xdr:row>
      <xdr:rowOff>180976</xdr:rowOff>
    </xdr:from>
    <xdr:to>
      <xdr:col>4</xdr:col>
      <xdr:colOff>28574</xdr:colOff>
      <xdr:row>38</xdr:row>
      <xdr:rowOff>38100</xdr:rowOff>
    </xdr:to>
    <xdr:sp macro="" textlink="">
      <xdr:nvSpPr>
        <xdr:cNvPr id="67" name="Rectangle 66">
          <a:extLst>
            <a:ext uri="{FF2B5EF4-FFF2-40B4-BE49-F238E27FC236}">
              <a16:creationId xmlns:a16="http://schemas.microsoft.com/office/drawing/2014/main" id="{00000000-0008-0000-0700-000043000000}"/>
            </a:ext>
          </a:extLst>
        </xdr:cNvPr>
        <xdr:cNvSpPr/>
      </xdr:nvSpPr>
      <xdr:spPr>
        <a:xfrm>
          <a:off x="1257298" y="6696076"/>
          <a:ext cx="9048751" cy="6191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28574</xdr:colOff>
      <xdr:row>36</xdr:row>
      <xdr:rowOff>14287</xdr:rowOff>
    </xdr:from>
    <xdr:to>
      <xdr:col>4</xdr:col>
      <xdr:colOff>419100</xdr:colOff>
      <xdr:row>36</xdr:row>
      <xdr:rowOff>109538</xdr:rowOff>
    </xdr:to>
    <xdr:cxnSp macro="">
      <xdr:nvCxnSpPr>
        <xdr:cNvPr id="68" name="Straight Arrow Connector 67">
          <a:extLst>
            <a:ext uri="{FF2B5EF4-FFF2-40B4-BE49-F238E27FC236}">
              <a16:creationId xmlns:a16="http://schemas.microsoft.com/office/drawing/2014/main" id="{00000000-0008-0000-0700-000044000000}"/>
            </a:ext>
          </a:extLst>
        </xdr:cNvPr>
        <xdr:cNvCxnSpPr>
          <a:stCxn id="73" idx="1"/>
          <a:endCxn id="67" idx="3"/>
        </xdr:cNvCxnSpPr>
      </xdr:nvCxnSpPr>
      <xdr:spPr>
        <a:xfrm flipH="1">
          <a:off x="10306049" y="6910387"/>
          <a:ext cx="390526" cy="952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419100</xdr:colOff>
      <xdr:row>34</xdr:row>
      <xdr:rowOff>152399</xdr:rowOff>
    </xdr:from>
    <xdr:to>
      <xdr:col>10</xdr:col>
      <xdr:colOff>66675</xdr:colOff>
      <xdr:row>37</xdr:row>
      <xdr:rowOff>66675</xdr:rowOff>
    </xdr:to>
    <xdr:sp macro="" textlink="">
      <xdr:nvSpPr>
        <xdr:cNvPr id="73" name="TextBox 72">
          <a:extLst>
            <a:ext uri="{FF2B5EF4-FFF2-40B4-BE49-F238E27FC236}">
              <a16:creationId xmlns:a16="http://schemas.microsoft.com/office/drawing/2014/main" id="{00000000-0008-0000-0700-000049000000}"/>
            </a:ext>
          </a:extLst>
        </xdr:cNvPr>
        <xdr:cNvSpPr txBox="1"/>
      </xdr:nvSpPr>
      <xdr:spPr>
        <a:xfrm>
          <a:off x="10696575" y="6667499"/>
          <a:ext cx="4419600"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26</xdr:row>
      <xdr:rowOff>180976</xdr:rowOff>
    </xdr:from>
    <xdr:to>
      <xdr:col>2</xdr:col>
      <xdr:colOff>0</xdr:colOff>
      <xdr:row>28</xdr:row>
      <xdr:rowOff>0</xdr:rowOff>
    </xdr:to>
    <xdr:sp macro="" textlink="">
      <xdr:nvSpPr>
        <xdr:cNvPr id="2" name="Rectangle 1">
          <a:extLst>
            <a:ext uri="{FF2B5EF4-FFF2-40B4-BE49-F238E27FC236}">
              <a16:creationId xmlns:a16="http://schemas.microsoft.com/office/drawing/2014/main" id="{00000000-0008-0000-0800-000002000000}"/>
            </a:ext>
          </a:extLst>
        </xdr:cNvPr>
        <xdr:cNvSpPr/>
      </xdr:nvSpPr>
      <xdr:spPr>
        <a:xfrm>
          <a:off x="619125" y="6124576"/>
          <a:ext cx="600075" cy="2000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35</xdr:row>
      <xdr:rowOff>114300</xdr:rowOff>
    </xdr:from>
    <xdr:to>
      <xdr:col>11</xdr:col>
      <xdr:colOff>142875</xdr:colOff>
      <xdr:row>39</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0" y="7772400"/>
          <a:ext cx="6848475"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b="0">
              <a:solidFill>
                <a:srgbClr val="FF0000"/>
              </a:solidFill>
            </a:rPr>
            <a:t>如果本列有</a:t>
          </a:r>
          <a:r>
            <a:rPr lang="en-US" altLang="zh-CN" sz="1100" b="0">
              <a:solidFill>
                <a:srgbClr val="FF0000"/>
              </a:solidFill>
            </a:rPr>
            <a:t>alert</a:t>
          </a:r>
          <a:r>
            <a:rPr lang="zh-CN" altLang="en-US" sz="1100" b="0">
              <a:solidFill>
                <a:srgbClr val="FF0000"/>
              </a:solidFill>
            </a:rPr>
            <a:t>，则需要检查</a:t>
          </a:r>
          <a:r>
            <a:rPr lang="en-US" altLang="zh-CN" sz="1100" b="0">
              <a:solidFill>
                <a:srgbClr val="FF0000"/>
              </a:solidFill>
            </a:rPr>
            <a:t>IFN</a:t>
          </a:r>
          <a:r>
            <a:rPr lang="zh-CN" altLang="en-US" sz="1100" b="0">
              <a:solidFill>
                <a:srgbClr val="FF0000"/>
              </a:solidFill>
            </a:rPr>
            <a:t>是否被重复引用了，如果是，则在</a:t>
          </a:r>
          <a:r>
            <a:rPr lang="en-US" altLang="zh-CN" sz="1100" b="0">
              <a:solidFill>
                <a:srgbClr val="FF0000"/>
              </a:solidFill>
            </a:rPr>
            <a:t>Same IFN Invoked More Than One Time? </a:t>
          </a:r>
          <a:r>
            <a:rPr lang="zh-CN" altLang="en-US" sz="1100" b="0">
              <a:solidFill>
                <a:srgbClr val="FF0000"/>
              </a:solidFill>
            </a:rPr>
            <a:t>标记</a:t>
          </a:r>
          <a:r>
            <a:rPr lang="en-US" altLang="zh-CN" sz="1100" b="0">
              <a:solidFill>
                <a:srgbClr val="FF0000"/>
              </a:solidFill>
            </a:rPr>
            <a:t>Y</a:t>
          </a:r>
          <a:r>
            <a:rPr lang="zh-CN" altLang="en-US" sz="1100" b="0">
              <a:solidFill>
                <a:srgbClr val="FF0000"/>
              </a:solidFill>
            </a:rPr>
            <a:t>。 如果没有，则证明这是不同的</a:t>
          </a:r>
          <a:r>
            <a:rPr lang="en-US" altLang="zh-CN" sz="1100" b="0">
              <a:solidFill>
                <a:srgbClr val="FF0000"/>
              </a:solidFill>
            </a:rPr>
            <a:t>IFN</a:t>
          </a:r>
          <a:r>
            <a:rPr lang="zh-CN" altLang="en-US" sz="1100" b="0" baseline="0">
              <a:solidFill>
                <a:srgbClr val="FF0000"/>
              </a:solidFill>
            </a:rPr>
            <a:t> </a:t>
          </a:r>
          <a:r>
            <a:rPr lang="en-US" altLang="zh-CN" sz="1100" b="0" baseline="0">
              <a:solidFill>
                <a:srgbClr val="FF0000"/>
              </a:solidFill>
            </a:rPr>
            <a:t>w same name</a:t>
          </a:r>
          <a:r>
            <a:rPr lang="zh-CN" altLang="en-US" sz="1100" b="0" baseline="0">
              <a:solidFill>
                <a:srgbClr val="FF0000"/>
              </a:solidFill>
            </a:rPr>
            <a:t>， 比如</a:t>
          </a:r>
          <a:r>
            <a:rPr lang="en-US" altLang="zh-CN" sz="1100" b="0" baseline="0">
              <a:solidFill>
                <a:srgbClr val="FF0000"/>
              </a:solidFill>
            </a:rPr>
            <a:t>EE</a:t>
          </a:r>
          <a:r>
            <a:rPr lang="zh-CN" altLang="en-US" sz="1100" b="0" baseline="0">
              <a:solidFill>
                <a:srgbClr val="FF0000"/>
              </a:solidFill>
            </a:rPr>
            <a:t>和</a:t>
          </a:r>
          <a:r>
            <a:rPr lang="en-US" altLang="zh-CN" sz="1100" b="0" baseline="0">
              <a:solidFill>
                <a:srgbClr val="FF0000"/>
              </a:solidFill>
            </a:rPr>
            <a:t>Dep </a:t>
          </a:r>
          <a:r>
            <a:rPr lang="zh-CN" altLang="en-US" sz="1100" b="0" baseline="0">
              <a:solidFill>
                <a:srgbClr val="FF0000"/>
              </a:solidFill>
            </a:rPr>
            <a:t>的</a:t>
          </a:r>
          <a:r>
            <a:rPr lang="en-US" altLang="zh-CN" sz="1100" b="0" baseline="0">
              <a:solidFill>
                <a:srgbClr val="FF0000"/>
              </a:solidFill>
            </a:rPr>
            <a:t>SSN</a:t>
          </a:r>
          <a:r>
            <a:rPr lang="zh-CN" altLang="en-US" sz="1100" b="0" baseline="0">
              <a:solidFill>
                <a:srgbClr val="FF0000"/>
              </a:solidFill>
            </a:rPr>
            <a:t>都叫</a:t>
          </a:r>
          <a:r>
            <a:rPr lang="en-US" altLang="zh-CN" sz="1100" b="0" baseline="0">
              <a:solidFill>
                <a:srgbClr val="FF0000"/>
              </a:solidFill>
            </a:rPr>
            <a:t>SSN</a:t>
          </a:r>
          <a:r>
            <a:rPr lang="zh-CN" altLang="en-US" sz="1100" b="0" baseline="0">
              <a:solidFill>
                <a:srgbClr val="FF0000"/>
              </a:solidFill>
            </a:rPr>
            <a:t>，此时</a:t>
          </a:r>
          <a:r>
            <a:rPr lang="zh-CN" altLang="en-US" sz="1100" b="0">
              <a:solidFill>
                <a:srgbClr val="FF0000"/>
              </a:solidFill>
            </a:rPr>
            <a:t>需要</a:t>
          </a:r>
          <a:r>
            <a:rPr lang="en-US" altLang="zh-CN" sz="1100" b="0">
              <a:solidFill>
                <a:srgbClr val="FF0000"/>
              </a:solidFill>
            </a:rPr>
            <a:t>manipulate IFN</a:t>
          </a:r>
          <a:r>
            <a:rPr lang="zh-CN" altLang="en-US" sz="1100" b="0">
              <a:solidFill>
                <a:srgbClr val="FF0000"/>
              </a:solidFill>
            </a:rPr>
            <a:t>的名字来区分他们</a:t>
          </a:r>
          <a:endParaRPr lang="en-US" altLang="zh-CN" sz="1100" b="0">
            <a:solidFill>
              <a:srgbClr val="FF0000"/>
            </a:solidFill>
          </a:endParaRPr>
        </a:p>
      </xdr:txBody>
    </xdr:sp>
    <xdr:clientData/>
  </xdr:twoCellAnchor>
  <xdr:twoCellAnchor>
    <xdr:from>
      <xdr:col>1</xdr:col>
      <xdr:colOff>309563</xdr:colOff>
      <xdr:row>28</xdr:row>
      <xdr:rowOff>0</xdr:rowOff>
    </xdr:from>
    <xdr:to>
      <xdr:col>5</xdr:col>
      <xdr:colOff>376238</xdr:colOff>
      <xdr:row>35</xdr:row>
      <xdr:rowOff>114300</xdr:rowOff>
    </xdr:to>
    <xdr:cxnSp macro="">
      <xdr:nvCxnSpPr>
        <xdr:cNvPr id="4" name="Straight Arrow Connector 3">
          <a:extLst>
            <a:ext uri="{FF2B5EF4-FFF2-40B4-BE49-F238E27FC236}">
              <a16:creationId xmlns:a16="http://schemas.microsoft.com/office/drawing/2014/main" id="{00000000-0008-0000-0800-000004000000}"/>
            </a:ext>
          </a:extLst>
        </xdr:cNvPr>
        <xdr:cNvCxnSpPr>
          <a:stCxn id="3" idx="0"/>
          <a:endCxn id="2" idx="2"/>
        </xdr:cNvCxnSpPr>
      </xdr:nvCxnSpPr>
      <xdr:spPr>
        <a:xfrm flipH="1" flipV="1">
          <a:off x="919163" y="6324600"/>
          <a:ext cx="2505075" cy="14478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19049</xdr:rowOff>
    </xdr:from>
    <xdr:to>
      <xdr:col>3</xdr:col>
      <xdr:colOff>28575</xdr:colOff>
      <xdr:row>29</xdr:row>
      <xdr:rowOff>9524</xdr:rowOff>
    </xdr:to>
    <xdr:sp macro="" textlink="">
      <xdr:nvSpPr>
        <xdr:cNvPr id="5" name="Rectangle 4">
          <a:extLst>
            <a:ext uri="{FF2B5EF4-FFF2-40B4-BE49-F238E27FC236}">
              <a16:creationId xmlns:a16="http://schemas.microsoft.com/office/drawing/2014/main" id="{00000000-0008-0000-0800-000005000000}"/>
            </a:ext>
            <a:ext uri="{147F2762-F138-4A5C-976F-8EAC2B608ADB}">
              <a16:predDERef xmlns:a16="http://schemas.microsoft.com/office/drawing/2014/main" pred="{00000000-0008-0000-0000-000059000000}"/>
            </a:ext>
          </a:extLst>
        </xdr:cNvPr>
        <xdr:cNvSpPr/>
      </xdr:nvSpPr>
      <xdr:spPr>
        <a:xfrm>
          <a:off x="1219200" y="4248149"/>
          <a:ext cx="638175"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228600</xdr:colOff>
      <xdr:row>16</xdr:row>
      <xdr:rowOff>142875</xdr:rowOff>
    </xdr:from>
    <xdr:to>
      <xdr:col>9</xdr:col>
      <xdr:colOff>157277</xdr:colOff>
      <xdr:row>21</xdr:row>
      <xdr:rowOff>76200</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2057400" y="3228975"/>
          <a:ext cx="3586277"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按照</a:t>
          </a:r>
          <a:r>
            <a:rPr lang="en-US" altLang="zh-CN" sz="1100">
              <a:solidFill>
                <a:srgbClr val="FF0000"/>
              </a:solidFill>
            </a:rPr>
            <a:t>EN</a:t>
          </a:r>
          <a:r>
            <a:rPr lang="zh-CN" altLang="en-US" sz="1100">
              <a:solidFill>
                <a:srgbClr val="FF0000"/>
              </a:solidFill>
            </a:rPr>
            <a:t>上的</a:t>
          </a:r>
          <a:r>
            <a:rPr lang="en-US" altLang="zh-CN" sz="1100">
              <a:solidFill>
                <a:srgbClr val="FF0000"/>
              </a:solidFill>
            </a:rPr>
            <a:t>field</a:t>
          </a:r>
          <a:r>
            <a:rPr lang="zh-CN" altLang="en-US" sz="1100">
              <a:solidFill>
                <a:srgbClr val="FF0000"/>
              </a:solidFill>
            </a:rPr>
            <a:t>名字填写</a:t>
          </a:r>
          <a:r>
            <a:rPr lang="en-US" altLang="zh-CN" sz="1100">
              <a:solidFill>
                <a:srgbClr val="FF0000"/>
              </a:solidFill>
            </a:rPr>
            <a:t>IFN</a:t>
          </a:r>
          <a:r>
            <a:rPr lang="zh-CN" altLang="en-US" sz="1100">
              <a:solidFill>
                <a:srgbClr val="FF0000"/>
              </a:solidFill>
            </a:rPr>
            <a:t>，可以根据</a:t>
          </a:r>
          <a:r>
            <a:rPr lang="en-US" altLang="zh-CN" sz="1100">
              <a:solidFill>
                <a:srgbClr val="FF0000"/>
              </a:solidFill>
            </a:rPr>
            <a:t>team</a:t>
          </a:r>
          <a:r>
            <a:rPr lang="zh-CN" altLang="en-US" sz="1100">
              <a:solidFill>
                <a:srgbClr val="FF0000"/>
              </a:solidFill>
            </a:rPr>
            <a:t>自己的需求或者</a:t>
          </a:r>
          <a:r>
            <a:rPr lang="en-US" altLang="zh-CN" sz="1100">
              <a:solidFill>
                <a:srgbClr val="FF0000"/>
              </a:solidFill>
            </a:rPr>
            <a:t>automation</a:t>
          </a:r>
          <a:r>
            <a:rPr lang="zh-CN" altLang="en-US" sz="1100">
              <a:solidFill>
                <a:srgbClr val="FF0000"/>
              </a:solidFill>
            </a:rPr>
            <a:t>的需求</a:t>
          </a:r>
          <a:r>
            <a:rPr lang="en-US" altLang="zh-CN" sz="1100">
              <a:solidFill>
                <a:srgbClr val="FF0000"/>
              </a:solidFill>
            </a:rPr>
            <a:t>manipulate IFN</a:t>
          </a:r>
        </a:p>
        <a:p>
          <a:r>
            <a:rPr lang="zh-CN" altLang="en-US" sz="1100">
              <a:solidFill>
                <a:srgbClr val="FF0000"/>
              </a:solidFill>
            </a:rPr>
            <a:t>填写时需要按照下方的</a:t>
          </a:r>
          <a:r>
            <a:rPr lang="en-US" altLang="zh-CN" sz="1100" b="1">
              <a:solidFill>
                <a:srgbClr val="FF0000"/>
              </a:solidFill>
            </a:rPr>
            <a:t>IFN-OFN Filling Method</a:t>
          </a:r>
          <a:r>
            <a:rPr lang="zh-CN" altLang="en-US" sz="1100" b="0">
              <a:solidFill>
                <a:srgbClr val="FF0000"/>
              </a:solidFill>
            </a:rPr>
            <a:t>规定的</a:t>
          </a:r>
          <a:r>
            <a:rPr lang="en-US" altLang="zh-CN" sz="1100" b="0">
              <a:solidFill>
                <a:srgbClr val="FF0000"/>
              </a:solidFill>
            </a:rPr>
            <a:t>IFN-OFN</a:t>
          </a:r>
          <a:r>
            <a:rPr lang="en-US" altLang="zh-CN" sz="1100" b="0" baseline="0">
              <a:solidFill>
                <a:srgbClr val="FF0000"/>
              </a:solidFill>
            </a:rPr>
            <a:t> mapping</a:t>
          </a:r>
          <a:r>
            <a:rPr lang="zh-CN" altLang="en-US" sz="1100" b="0" baseline="0">
              <a:solidFill>
                <a:srgbClr val="FF0000"/>
              </a:solidFill>
            </a:rPr>
            <a:t>格式填写</a:t>
          </a:r>
          <a:endParaRPr lang="en-US" sz="1100" b="0">
            <a:solidFill>
              <a:srgbClr val="FF0000"/>
            </a:solidFill>
          </a:endParaRPr>
        </a:p>
      </xdr:txBody>
    </xdr:sp>
    <xdr:clientData/>
  </xdr:twoCellAnchor>
  <xdr:twoCellAnchor>
    <xdr:from>
      <xdr:col>2</xdr:col>
      <xdr:colOff>319088</xdr:colOff>
      <xdr:row>19</xdr:row>
      <xdr:rowOff>14288</xdr:rowOff>
    </xdr:from>
    <xdr:to>
      <xdr:col>3</xdr:col>
      <xdr:colOff>228600</xdr:colOff>
      <xdr:row>22</xdr:row>
      <xdr:rowOff>19049</xdr:rowOff>
    </xdr:to>
    <xdr:cxnSp macro="">
      <xdr:nvCxnSpPr>
        <xdr:cNvPr id="7" name="Straight Arrow Connector 6">
          <a:extLst>
            <a:ext uri="{FF2B5EF4-FFF2-40B4-BE49-F238E27FC236}">
              <a16:creationId xmlns:a16="http://schemas.microsoft.com/office/drawing/2014/main" id="{00000000-0008-0000-0800-000007000000}"/>
            </a:ext>
          </a:extLst>
        </xdr:cNvPr>
        <xdr:cNvCxnSpPr>
          <a:stCxn id="6" idx="1"/>
          <a:endCxn id="5" idx="0"/>
        </xdr:cNvCxnSpPr>
      </xdr:nvCxnSpPr>
      <xdr:spPr>
        <a:xfrm flipH="1">
          <a:off x="1538288" y="3671888"/>
          <a:ext cx="519112" cy="57626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600076</xdr:colOff>
      <xdr:row>22</xdr:row>
      <xdr:rowOff>28575</xdr:rowOff>
    </xdr:from>
    <xdr:to>
      <xdr:col>6</xdr:col>
      <xdr:colOff>9526</xdr:colOff>
      <xdr:row>29</xdr:row>
      <xdr:rowOff>19050</xdr:rowOff>
    </xdr:to>
    <xdr:sp macro="" textlink="">
      <xdr:nvSpPr>
        <xdr:cNvPr id="8" name="Rectangle 7">
          <a:extLst>
            <a:ext uri="{FF2B5EF4-FFF2-40B4-BE49-F238E27FC236}">
              <a16:creationId xmlns:a16="http://schemas.microsoft.com/office/drawing/2014/main" id="{00000000-0008-0000-0800-000008000000}"/>
            </a:ext>
          </a:extLst>
        </xdr:cNvPr>
        <xdr:cNvSpPr/>
      </xdr:nvSpPr>
      <xdr:spPr>
        <a:xfrm>
          <a:off x="3038476" y="4257675"/>
          <a:ext cx="628650"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85725</xdr:colOff>
      <xdr:row>30</xdr:row>
      <xdr:rowOff>123825</xdr:rowOff>
    </xdr:from>
    <xdr:to>
      <xdr:col>14</xdr:col>
      <xdr:colOff>57150</xdr:colOff>
      <xdr:row>34</xdr:row>
      <xdr:rowOff>76200</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3743325" y="6829425"/>
          <a:ext cx="4848225" cy="714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填写</a:t>
          </a:r>
          <a:r>
            <a:rPr lang="en-US" altLang="zh-CN" sz="1100">
              <a:solidFill>
                <a:srgbClr val="FF0000"/>
              </a:solidFill>
            </a:rPr>
            <a:t>IFN</a:t>
          </a:r>
          <a:r>
            <a:rPr lang="zh-CN" altLang="en-US" sz="1100">
              <a:solidFill>
                <a:srgbClr val="FF0000"/>
              </a:solidFill>
            </a:rPr>
            <a:t>的类型</a:t>
          </a:r>
          <a:endParaRPr lang="en-US" altLang="zh-CN" sz="1100">
            <a:solidFill>
              <a:srgbClr val="FF0000"/>
            </a:solidFill>
          </a:endParaRPr>
        </a:p>
        <a:p>
          <a:r>
            <a:rPr lang="zh-CN" altLang="en-US" sz="1100">
              <a:solidFill>
                <a:srgbClr val="FF0000"/>
              </a:solidFill>
            </a:rPr>
            <a:t>如果</a:t>
          </a:r>
          <a:r>
            <a:rPr lang="en-US" altLang="zh-CN" sz="1100">
              <a:solidFill>
                <a:srgbClr val="FF0000"/>
              </a:solidFill>
            </a:rPr>
            <a:t>Type</a:t>
          </a:r>
          <a:r>
            <a:rPr lang="zh-CN" altLang="en-US" sz="1100">
              <a:solidFill>
                <a:srgbClr val="FF0000"/>
              </a:solidFill>
            </a:rPr>
            <a:t>为</a:t>
          </a:r>
          <a:r>
            <a:rPr lang="en-US" altLang="zh-CN" sz="1100">
              <a:solidFill>
                <a:srgbClr val="FF0000"/>
              </a:solidFill>
            </a:rPr>
            <a:t>Numbe,</a:t>
          </a:r>
          <a:r>
            <a:rPr lang="en-US" altLang="zh-CN" sz="1100" baseline="0">
              <a:solidFill>
                <a:srgbClr val="FF0000"/>
              </a:solidFill>
            </a:rPr>
            <a:t> </a:t>
          </a:r>
          <a:r>
            <a:rPr lang="zh-CN" altLang="en-US" sz="1100" baseline="0">
              <a:solidFill>
                <a:srgbClr val="FF0000"/>
              </a:solidFill>
            </a:rPr>
            <a:t>则</a:t>
          </a:r>
          <a:r>
            <a:rPr lang="en-US" altLang="zh-CN" sz="1100" baseline="0">
              <a:solidFill>
                <a:srgbClr val="FF0000"/>
              </a:solidFill>
            </a:rPr>
            <a:t>UI</a:t>
          </a:r>
          <a:r>
            <a:rPr lang="zh-CN" altLang="en-US" sz="1100" baseline="0">
              <a:solidFill>
                <a:srgbClr val="FF0000"/>
              </a:solidFill>
            </a:rPr>
            <a:t>会自动进行</a:t>
          </a:r>
          <a:r>
            <a:rPr lang="en-US" altLang="zh-CN" sz="1100" baseline="0">
              <a:solidFill>
                <a:srgbClr val="FF0000"/>
              </a:solidFill>
            </a:rPr>
            <a:t>remove character</a:t>
          </a:r>
          <a:r>
            <a:rPr lang="zh-CN" altLang="en-US" sz="1100" baseline="0">
              <a:solidFill>
                <a:srgbClr val="FF0000"/>
              </a:solidFill>
            </a:rPr>
            <a:t>，不接受任何字母和符号，只接受数字。如果是其他类型则不会进行</a:t>
          </a:r>
          <a:r>
            <a:rPr lang="en-US" altLang="zh-CN" sz="1100" baseline="0">
              <a:solidFill>
                <a:srgbClr val="FF0000"/>
              </a:solidFill>
            </a:rPr>
            <a:t>remove character </a:t>
          </a:r>
          <a:r>
            <a:rPr lang="zh-CN" altLang="en-US" sz="1100" baseline="0">
              <a:solidFill>
                <a:srgbClr val="FF0000"/>
              </a:solidFill>
            </a:rPr>
            <a:t>操作</a:t>
          </a:r>
          <a:endParaRPr lang="en-US" sz="1100">
            <a:solidFill>
              <a:srgbClr val="FF0000"/>
            </a:solidFill>
          </a:endParaRPr>
        </a:p>
      </xdr:txBody>
    </xdr:sp>
    <xdr:clientData/>
  </xdr:twoCellAnchor>
  <xdr:twoCellAnchor>
    <xdr:from>
      <xdr:col>5</xdr:col>
      <xdr:colOff>304801</xdr:colOff>
      <xdr:row>29</xdr:row>
      <xdr:rowOff>19050</xdr:rowOff>
    </xdr:from>
    <xdr:to>
      <xdr:col>6</xdr:col>
      <xdr:colOff>85725</xdr:colOff>
      <xdr:row>32</xdr:row>
      <xdr:rowOff>100013</xdr:rowOff>
    </xdr:to>
    <xdr:cxnSp macro="">
      <xdr:nvCxnSpPr>
        <xdr:cNvPr id="10" name="Straight Arrow Connector 9">
          <a:extLst>
            <a:ext uri="{FF2B5EF4-FFF2-40B4-BE49-F238E27FC236}">
              <a16:creationId xmlns:a16="http://schemas.microsoft.com/office/drawing/2014/main" id="{00000000-0008-0000-0800-00000A000000}"/>
            </a:ext>
          </a:extLst>
        </xdr:cNvPr>
        <xdr:cNvCxnSpPr>
          <a:stCxn id="9" idx="1"/>
          <a:endCxn id="8" idx="2"/>
        </xdr:cNvCxnSpPr>
      </xdr:nvCxnSpPr>
      <xdr:spPr>
        <a:xfrm flipH="1" flipV="1">
          <a:off x="3352801" y="6534150"/>
          <a:ext cx="390524" cy="6524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590550</xdr:colOff>
      <xdr:row>22</xdr:row>
      <xdr:rowOff>28575</xdr:rowOff>
    </xdr:from>
    <xdr:to>
      <xdr:col>14</xdr:col>
      <xdr:colOff>9525</xdr:colOff>
      <xdr:row>29</xdr:row>
      <xdr:rowOff>0</xdr:rowOff>
    </xdr:to>
    <xdr:sp macro="" textlink="">
      <xdr:nvSpPr>
        <xdr:cNvPr id="11" name="Rectangle 10">
          <a:extLst>
            <a:ext uri="{FF2B5EF4-FFF2-40B4-BE49-F238E27FC236}">
              <a16:creationId xmlns:a16="http://schemas.microsoft.com/office/drawing/2014/main" id="{00000000-0008-0000-0800-00000B000000}"/>
            </a:ext>
          </a:extLst>
        </xdr:cNvPr>
        <xdr:cNvSpPr/>
      </xdr:nvSpPr>
      <xdr:spPr>
        <a:xfrm>
          <a:off x="7905750" y="4257675"/>
          <a:ext cx="638175" cy="22574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581025</xdr:colOff>
      <xdr:row>17</xdr:row>
      <xdr:rowOff>76201</xdr:rowOff>
    </xdr:from>
    <xdr:to>
      <xdr:col>21</xdr:col>
      <xdr:colOff>469147</xdr:colOff>
      <xdr:row>21</xdr:row>
      <xdr:rowOff>1</xdr:rowOff>
    </xdr:to>
    <xdr:sp macro="" textlink="">
      <xdr:nvSpPr>
        <xdr:cNvPr id="12" name="TextBox 11">
          <a:extLst>
            <a:ext uri="{FF2B5EF4-FFF2-40B4-BE49-F238E27FC236}">
              <a16:creationId xmlns:a16="http://schemas.microsoft.com/office/drawing/2014/main" id="{00000000-0008-0000-0800-00000C000000}"/>
            </a:ext>
          </a:extLst>
        </xdr:cNvPr>
        <xdr:cNvSpPr txBox="1"/>
      </xdr:nvSpPr>
      <xdr:spPr>
        <a:xfrm>
          <a:off x="8505825" y="3352801"/>
          <a:ext cx="4764922"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Developer</a:t>
          </a:r>
          <a:r>
            <a:rPr lang="zh-CN" altLang="en-US" sz="1100">
              <a:solidFill>
                <a:srgbClr val="FF0000"/>
              </a:solidFill>
            </a:rPr>
            <a:t>在</a:t>
          </a:r>
          <a:r>
            <a:rPr lang="en-US" altLang="zh-CN" sz="1100">
              <a:solidFill>
                <a:srgbClr val="FF0000"/>
              </a:solidFill>
            </a:rPr>
            <a:t>carrier </a:t>
          </a:r>
          <a:r>
            <a:rPr lang="zh-CN" altLang="en-US" sz="1100">
              <a:solidFill>
                <a:srgbClr val="FF0000"/>
              </a:solidFill>
            </a:rPr>
            <a:t>网站上抓取并填写的</a:t>
          </a:r>
          <a:r>
            <a:rPr lang="en-US" altLang="zh-CN" sz="1100">
              <a:solidFill>
                <a:srgbClr val="FF0000"/>
              </a:solidFill>
            </a:rPr>
            <a:t>Carrier </a:t>
          </a:r>
          <a:r>
            <a:rPr lang="zh-CN" altLang="en-US" sz="1100">
              <a:solidFill>
                <a:srgbClr val="FF0000"/>
              </a:solidFill>
            </a:rPr>
            <a:t>网站上的</a:t>
          </a:r>
          <a:r>
            <a:rPr lang="en-US" altLang="zh-CN" sz="1100">
              <a:solidFill>
                <a:srgbClr val="FF0000"/>
              </a:solidFill>
            </a:rPr>
            <a:t>OFN.</a:t>
          </a:r>
          <a:r>
            <a:rPr lang="en-US" altLang="zh-CN" sz="1100" baseline="0">
              <a:solidFill>
                <a:srgbClr val="FF0000"/>
              </a:solidFill>
            </a:rPr>
            <a:t> </a:t>
          </a:r>
        </a:p>
        <a:p>
          <a:r>
            <a:rPr lang="zh-CN" altLang="en-US" sz="1100" baseline="0">
              <a:solidFill>
                <a:srgbClr val="FF0000"/>
              </a:solidFill>
            </a:rPr>
            <a:t>用户不需要填写</a:t>
          </a:r>
          <a:r>
            <a:rPr lang="en-US" altLang="zh-CN" sz="1100" baseline="0">
              <a:solidFill>
                <a:srgbClr val="FF0000"/>
              </a:solidFill>
            </a:rPr>
            <a:t>OFN</a:t>
          </a:r>
          <a:r>
            <a:rPr lang="zh-CN" altLang="en-US" sz="1100" baseline="0">
              <a:solidFill>
                <a:srgbClr val="FF0000"/>
              </a:solidFill>
            </a:rPr>
            <a:t>， 但是需要按照</a:t>
          </a:r>
          <a:r>
            <a:rPr lang="en-US" altLang="zh-CN" sz="1100" baseline="0">
              <a:solidFill>
                <a:srgbClr val="FF0000"/>
              </a:solidFill>
            </a:rPr>
            <a:t>IFN-OFN Filling Method</a:t>
          </a:r>
          <a:r>
            <a:rPr lang="zh-CN" altLang="en-US" sz="1100" baseline="0">
              <a:solidFill>
                <a:srgbClr val="FF0000"/>
              </a:solidFill>
            </a:rPr>
            <a:t>规定的</a:t>
          </a:r>
          <a:r>
            <a:rPr lang="en-US" altLang="zh-CN" sz="1100" baseline="0">
              <a:solidFill>
                <a:srgbClr val="FF0000"/>
              </a:solidFill>
            </a:rPr>
            <a:t>IFN-OFN mapping</a:t>
          </a:r>
          <a:r>
            <a:rPr lang="zh-CN" altLang="en-US" sz="1100" baseline="0">
              <a:solidFill>
                <a:srgbClr val="FF0000"/>
              </a:solidFill>
            </a:rPr>
            <a:t>逻辑增加空行，保证正确的</a:t>
          </a:r>
          <a:r>
            <a:rPr lang="en-US" altLang="zh-CN" sz="1100" baseline="0">
              <a:solidFill>
                <a:srgbClr val="FF0000"/>
              </a:solidFill>
            </a:rPr>
            <a:t>IFN-OFN</a:t>
          </a:r>
          <a:r>
            <a:rPr lang="zh-CN" altLang="en-US" sz="1100" baseline="0">
              <a:solidFill>
                <a:srgbClr val="FF0000"/>
              </a:solidFill>
            </a:rPr>
            <a:t>对应关系</a:t>
          </a:r>
          <a:endParaRPr lang="en-US" altLang="zh-CN" sz="1100" baseline="0">
            <a:solidFill>
              <a:srgbClr val="FF0000"/>
            </a:solidFill>
          </a:endParaRPr>
        </a:p>
        <a:p>
          <a:endParaRPr lang="en-US" sz="1100">
            <a:solidFill>
              <a:srgbClr val="FF0000"/>
            </a:solidFill>
          </a:endParaRPr>
        </a:p>
      </xdr:txBody>
    </xdr:sp>
    <xdr:clientData/>
  </xdr:twoCellAnchor>
  <xdr:twoCellAnchor>
    <xdr:from>
      <xdr:col>13</xdr:col>
      <xdr:colOff>300038</xdr:colOff>
      <xdr:row>19</xdr:row>
      <xdr:rowOff>38101</xdr:rowOff>
    </xdr:from>
    <xdr:to>
      <xdr:col>13</xdr:col>
      <xdr:colOff>581025</xdr:colOff>
      <xdr:row>22</xdr:row>
      <xdr:rowOff>28575</xdr:rowOff>
    </xdr:to>
    <xdr:cxnSp macro="">
      <xdr:nvCxnSpPr>
        <xdr:cNvPr id="13" name="Straight Arrow Connector 12">
          <a:extLst>
            <a:ext uri="{FF2B5EF4-FFF2-40B4-BE49-F238E27FC236}">
              <a16:creationId xmlns:a16="http://schemas.microsoft.com/office/drawing/2014/main" id="{00000000-0008-0000-0800-00000D000000}"/>
            </a:ext>
          </a:extLst>
        </xdr:cNvPr>
        <xdr:cNvCxnSpPr>
          <a:stCxn id="12" idx="1"/>
          <a:endCxn id="11" idx="0"/>
        </xdr:cNvCxnSpPr>
      </xdr:nvCxnSpPr>
      <xdr:spPr>
        <a:xfrm flipH="1">
          <a:off x="8224838" y="3695701"/>
          <a:ext cx="280987" cy="56197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19050</xdr:colOff>
      <xdr:row>22</xdr:row>
      <xdr:rowOff>28575</xdr:rowOff>
    </xdr:from>
    <xdr:to>
      <xdr:col>20</xdr:col>
      <xdr:colOff>19050</xdr:colOff>
      <xdr:row>29</xdr:row>
      <xdr:rowOff>9525</xdr:rowOff>
    </xdr:to>
    <xdr:sp macro="" textlink="">
      <xdr:nvSpPr>
        <xdr:cNvPr id="14" name="Rectangle 13">
          <a:extLst>
            <a:ext uri="{FF2B5EF4-FFF2-40B4-BE49-F238E27FC236}">
              <a16:creationId xmlns:a16="http://schemas.microsoft.com/office/drawing/2014/main" id="{00000000-0008-0000-0800-00000E000000}"/>
            </a:ext>
          </a:extLst>
        </xdr:cNvPr>
        <xdr:cNvSpPr/>
      </xdr:nvSpPr>
      <xdr:spPr>
        <a:xfrm>
          <a:off x="11601450" y="4257675"/>
          <a:ext cx="609600" cy="22669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28575</xdr:colOff>
      <xdr:row>31</xdr:row>
      <xdr:rowOff>133349</xdr:rowOff>
    </xdr:from>
    <xdr:to>
      <xdr:col>24</xdr:col>
      <xdr:colOff>114300</xdr:colOff>
      <xdr:row>34</xdr:row>
      <xdr:rowOff>57150</xdr:rowOff>
    </xdr:to>
    <xdr:sp macro="" textlink="">
      <xdr:nvSpPr>
        <xdr:cNvPr id="15" name="TextBox 14">
          <a:extLst>
            <a:ext uri="{FF2B5EF4-FFF2-40B4-BE49-F238E27FC236}">
              <a16:creationId xmlns:a16="http://schemas.microsoft.com/office/drawing/2014/main" id="{00000000-0008-0000-0800-00000F000000}"/>
            </a:ext>
          </a:extLst>
        </xdr:cNvPr>
        <xdr:cNvSpPr txBox="1"/>
      </xdr:nvSpPr>
      <xdr:spPr>
        <a:xfrm>
          <a:off x="12220575" y="7029449"/>
          <a:ext cx="2524125" cy="495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如果需要截取指定位数的内容，需要使用“开始字符” </a:t>
          </a:r>
          <a:r>
            <a:rPr lang="en-US" altLang="zh-CN" sz="1100">
              <a:solidFill>
                <a:srgbClr val="FF0000"/>
              </a:solidFill>
            </a:rPr>
            <a:t>"," "</a:t>
          </a:r>
          <a:r>
            <a:rPr lang="zh-CN" altLang="en-US" sz="1100">
              <a:solidFill>
                <a:srgbClr val="FF0000"/>
              </a:solidFill>
            </a:rPr>
            <a:t>结束字符</a:t>
          </a:r>
          <a:r>
            <a:rPr lang="en-US" altLang="zh-CN" sz="1100">
              <a:solidFill>
                <a:srgbClr val="FF0000"/>
              </a:solidFill>
            </a:rPr>
            <a:t>"</a:t>
          </a:r>
          <a:r>
            <a:rPr lang="zh-CN" altLang="en-US" sz="1100">
              <a:solidFill>
                <a:srgbClr val="FF0000"/>
              </a:solidFill>
            </a:rPr>
            <a:t>的格式</a:t>
          </a:r>
          <a:endParaRPr lang="en-US" sz="1100">
            <a:solidFill>
              <a:srgbClr val="FF0000"/>
            </a:solidFill>
          </a:endParaRPr>
        </a:p>
      </xdr:txBody>
    </xdr:sp>
    <xdr:clientData/>
  </xdr:twoCellAnchor>
  <xdr:twoCellAnchor>
    <xdr:from>
      <xdr:col>19</xdr:col>
      <xdr:colOff>323850</xdr:colOff>
      <xdr:row>29</xdr:row>
      <xdr:rowOff>9525</xdr:rowOff>
    </xdr:from>
    <xdr:to>
      <xdr:col>22</xdr:col>
      <xdr:colOff>71438</xdr:colOff>
      <xdr:row>31</xdr:row>
      <xdr:rowOff>133349</xdr:rowOff>
    </xdr:to>
    <xdr:cxnSp macro="">
      <xdr:nvCxnSpPr>
        <xdr:cNvPr id="16" name="Straight Arrow Connector 15">
          <a:extLst>
            <a:ext uri="{FF2B5EF4-FFF2-40B4-BE49-F238E27FC236}">
              <a16:creationId xmlns:a16="http://schemas.microsoft.com/office/drawing/2014/main" id="{00000000-0008-0000-0800-000010000000}"/>
            </a:ext>
          </a:extLst>
        </xdr:cNvPr>
        <xdr:cNvCxnSpPr>
          <a:stCxn id="15" idx="0"/>
          <a:endCxn id="14" idx="2"/>
        </xdr:cNvCxnSpPr>
      </xdr:nvCxnSpPr>
      <xdr:spPr>
        <a:xfrm flipH="1" flipV="1">
          <a:off x="11906250" y="6524625"/>
          <a:ext cx="1576388" cy="50482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48</xdr:row>
      <xdr:rowOff>0</xdr:rowOff>
    </xdr:from>
    <xdr:to>
      <xdr:col>6</xdr:col>
      <xdr:colOff>0</xdr:colOff>
      <xdr:row>49</xdr:row>
      <xdr:rowOff>9525</xdr:rowOff>
    </xdr:to>
    <xdr:sp macro="" textlink="">
      <xdr:nvSpPr>
        <xdr:cNvPr id="17" name="Rectangle 16">
          <a:extLst>
            <a:ext uri="{FF2B5EF4-FFF2-40B4-BE49-F238E27FC236}">
              <a16:creationId xmlns:a16="http://schemas.microsoft.com/office/drawing/2014/main" id="{00000000-0008-0000-0800-000011000000}"/>
            </a:ext>
          </a:extLst>
        </xdr:cNvPr>
        <xdr:cNvSpPr/>
      </xdr:nvSpPr>
      <xdr:spPr>
        <a:xfrm>
          <a:off x="0" y="10134600"/>
          <a:ext cx="365760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48</xdr:row>
      <xdr:rowOff>47625</xdr:rowOff>
    </xdr:from>
    <xdr:to>
      <xdr:col>6</xdr:col>
      <xdr:colOff>542925</xdr:colOff>
      <xdr:row>48</xdr:row>
      <xdr:rowOff>100013</xdr:rowOff>
    </xdr:to>
    <xdr:cxnSp macro="">
      <xdr:nvCxnSpPr>
        <xdr:cNvPr id="18" name="Straight Arrow Connector 17">
          <a:extLst>
            <a:ext uri="{FF2B5EF4-FFF2-40B4-BE49-F238E27FC236}">
              <a16:creationId xmlns:a16="http://schemas.microsoft.com/office/drawing/2014/main" id="{00000000-0008-0000-0800-000012000000}"/>
            </a:ext>
          </a:extLst>
        </xdr:cNvPr>
        <xdr:cNvCxnSpPr>
          <a:stCxn id="19" idx="1"/>
          <a:endCxn id="17" idx="3"/>
        </xdr:cNvCxnSpPr>
      </xdr:nvCxnSpPr>
      <xdr:spPr>
        <a:xfrm flipH="1">
          <a:off x="3657600" y="10182225"/>
          <a:ext cx="542925" cy="523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542925</xdr:colOff>
      <xdr:row>45</xdr:row>
      <xdr:rowOff>76200</xdr:rowOff>
    </xdr:from>
    <xdr:to>
      <xdr:col>14</xdr:col>
      <xdr:colOff>514350</xdr:colOff>
      <xdr:row>51</xdr:row>
      <xdr:rowOff>19050</xdr:rowOff>
    </xdr:to>
    <xdr:sp macro="" textlink="">
      <xdr:nvSpPr>
        <xdr:cNvPr id="19" name="TextBox 18">
          <a:extLst>
            <a:ext uri="{FF2B5EF4-FFF2-40B4-BE49-F238E27FC236}">
              <a16:creationId xmlns:a16="http://schemas.microsoft.com/office/drawing/2014/main" id="{00000000-0008-0000-0800-000013000000}"/>
            </a:ext>
          </a:extLst>
        </xdr:cNvPr>
        <xdr:cNvSpPr txBox="1"/>
      </xdr:nvSpPr>
      <xdr:spPr>
        <a:xfrm>
          <a:off x="4200525" y="9639300"/>
          <a:ext cx="4848225" cy="1085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r>
            <a:rPr lang="en-US" altLang="zh-CN" sz="1100" baseline="0">
              <a:solidFill>
                <a:srgbClr val="FF0000"/>
              </a:solidFill>
              <a:effectLst/>
              <a:latin typeface="+mn-lt"/>
              <a:ea typeface="+mn-ea"/>
              <a:cs typeface="+mn-cs"/>
            </a:rPr>
            <a:t> - </a:t>
          </a:r>
          <a:r>
            <a:rPr lang="zh-CN" altLang="en-US" sz="1100" b="1" baseline="0">
              <a:solidFill>
                <a:srgbClr val="7030A0"/>
              </a:solidFill>
              <a:effectLst/>
              <a:latin typeface="+mn-lt"/>
              <a:ea typeface="+mn-ea"/>
              <a:cs typeface="+mn-cs"/>
            </a:rPr>
            <a:t>对于需要用户自建的</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（中间过渡</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），该如何和用户说明规则？</a:t>
          </a:r>
          <a:endParaRPr lang="en-US" b="1">
            <a:solidFill>
              <a:srgbClr val="7030A0"/>
            </a:solidFill>
            <a:effectLst/>
          </a:endParaRPr>
        </a:p>
      </xdr:txBody>
    </xdr:sp>
    <xdr:clientData/>
  </xdr:twoCellAnchor>
  <xdr:twoCellAnchor>
    <xdr:from>
      <xdr:col>3</xdr:col>
      <xdr:colOff>1</xdr:colOff>
      <xdr:row>60</xdr:row>
      <xdr:rowOff>19050</xdr:rowOff>
    </xdr:from>
    <xdr:to>
      <xdr:col>10</xdr:col>
      <xdr:colOff>1</xdr:colOff>
      <xdr:row>61</xdr:row>
      <xdr:rowOff>9525</xdr:rowOff>
    </xdr:to>
    <xdr:sp macro="" textlink="">
      <xdr:nvSpPr>
        <xdr:cNvPr id="20" name="Rectangle 19">
          <a:extLst>
            <a:ext uri="{FF2B5EF4-FFF2-40B4-BE49-F238E27FC236}">
              <a16:creationId xmlns:a16="http://schemas.microsoft.com/office/drawing/2014/main" id="{00000000-0008-0000-0800-000014000000}"/>
            </a:ext>
          </a:extLst>
        </xdr:cNvPr>
        <xdr:cNvSpPr/>
      </xdr:nvSpPr>
      <xdr:spPr>
        <a:xfrm>
          <a:off x="1828801" y="12458700"/>
          <a:ext cx="4267200"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60</xdr:row>
      <xdr:rowOff>109538</xdr:rowOff>
    </xdr:from>
    <xdr:to>
      <xdr:col>10</xdr:col>
      <xdr:colOff>381000</xdr:colOff>
      <xdr:row>61</xdr:row>
      <xdr:rowOff>14288</xdr:rowOff>
    </xdr:to>
    <xdr:cxnSp macro="">
      <xdr:nvCxnSpPr>
        <xdr:cNvPr id="21" name="Straight Arrow Connector 20">
          <a:extLst>
            <a:ext uri="{FF2B5EF4-FFF2-40B4-BE49-F238E27FC236}">
              <a16:creationId xmlns:a16="http://schemas.microsoft.com/office/drawing/2014/main" id="{00000000-0008-0000-0800-000015000000}"/>
            </a:ext>
          </a:extLst>
        </xdr:cNvPr>
        <xdr:cNvCxnSpPr>
          <a:stCxn id="22" idx="1"/>
          <a:endCxn id="20" idx="3"/>
        </xdr:cNvCxnSpPr>
      </xdr:nvCxnSpPr>
      <xdr:spPr>
        <a:xfrm flipH="1" flipV="1">
          <a:off x="6096001" y="12549188"/>
          <a:ext cx="380999" cy="952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60</xdr:row>
      <xdr:rowOff>66675</xdr:rowOff>
    </xdr:from>
    <xdr:to>
      <xdr:col>15</xdr:col>
      <xdr:colOff>295275</xdr:colOff>
      <xdr:row>61</xdr:row>
      <xdr:rowOff>152401</xdr:rowOff>
    </xdr:to>
    <xdr:sp macro="" textlink="">
      <xdr:nvSpPr>
        <xdr:cNvPr id="22" name="TextBox 21">
          <a:extLst>
            <a:ext uri="{FF2B5EF4-FFF2-40B4-BE49-F238E27FC236}">
              <a16:creationId xmlns:a16="http://schemas.microsoft.com/office/drawing/2014/main" id="{00000000-0008-0000-0800-000016000000}"/>
            </a:ext>
          </a:extLst>
        </xdr:cNvPr>
        <xdr:cNvSpPr txBox="1"/>
      </xdr:nvSpPr>
      <xdr:spPr>
        <a:xfrm>
          <a:off x="6477000" y="12506325"/>
          <a:ext cx="2962275" cy="2762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3</xdr:col>
      <xdr:colOff>1</xdr:colOff>
      <xdr:row>61</xdr:row>
      <xdr:rowOff>38100</xdr:rowOff>
    </xdr:from>
    <xdr:to>
      <xdr:col>10</xdr:col>
      <xdr:colOff>1</xdr:colOff>
      <xdr:row>62</xdr:row>
      <xdr:rowOff>19050</xdr:rowOff>
    </xdr:to>
    <xdr:sp macro="" textlink="">
      <xdr:nvSpPr>
        <xdr:cNvPr id="23" name="Rectangle 22">
          <a:extLst>
            <a:ext uri="{FF2B5EF4-FFF2-40B4-BE49-F238E27FC236}">
              <a16:creationId xmlns:a16="http://schemas.microsoft.com/office/drawing/2014/main" id="{00000000-0008-0000-0800-000017000000}"/>
            </a:ext>
          </a:extLst>
        </xdr:cNvPr>
        <xdr:cNvSpPr/>
      </xdr:nvSpPr>
      <xdr:spPr>
        <a:xfrm>
          <a:off x="1828801" y="12668250"/>
          <a:ext cx="4267200" cy="1714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61</xdr:row>
      <xdr:rowOff>123825</xdr:rowOff>
    </xdr:from>
    <xdr:to>
      <xdr:col>10</xdr:col>
      <xdr:colOff>381000</xdr:colOff>
      <xdr:row>62</xdr:row>
      <xdr:rowOff>47625</xdr:rowOff>
    </xdr:to>
    <xdr:cxnSp macro="">
      <xdr:nvCxnSpPr>
        <xdr:cNvPr id="24" name="Straight Arrow Connector 23">
          <a:extLst>
            <a:ext uri="{FF2B5EF4-FFF2-40B4-BE49-F238E27FC236}">
              <a16:creationId xmlns:a16="http://schemas.microsoft.com/office/drawing/2014/main" id="{00000000-0008-0000-0800-000018000000}"/>
            </a:ext>
          </a:extLst>
        </xdr:cNvPr>
        <xdr:cNvCxnSpPr>
          <a:stCxn id="25" idx="1"/>
          <a:endCxn id="23" idx="3"/>
        </xdr:cNvCxnSpPr>
      </xdr:nvCxnSpPr>
      <xdr:spPr>
        <a:xfrm flipH="1" flipV="1">
          <a:off x="6096001" y="12753975"/>
          <a:ext cx="380999" cy="1143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61</xdr:row>
      <xdr:rowOff>123825</xdr:rowOff>
    </xdr:from>
    <xdr:to>
      <xdr:col>14</xdr:col>
      <xdr:colOff>200025</xdr:colOff>
      <xdr:row>62</xdr:row>
      <xdr:rowOff>161925</xdr:rowOff>
    </xdr:to>
    <xdr:sp macro="" textlink="">
      <xdr:nvSpPr>
        <xdr:cNvPr id="25" name="TextBox 24">
          <a:extLst>
            <a:ext uri="{FF2B5EF4-FFF2-40B4-BE49-F238E27FC236}">
              <a16:creationId xmlns:a16="http://schemas.microsoft.com/office/drawing/2014/main" id="{00000000-0008-0000-0800-000019000000}"/>
            </a:ext>
          </a:extLst>
        </xdr:cNvPr>
        <xdr:cNvSpPr txBox="1"/>
      </xdr:nvSpPr>
      <xdr:spPr>
        <a:xfrm>
          <a:off x="6477000" y="12753975"/>
          <a:ext cx="2257425"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3</xdr:col>
      <xdr:colOff>9525</xdr:colOff>
      <xdr:row>65</xdr:row>
      <xdr:rowOff>19049</xdr:rowOff>
    </xdr:from>
    <xdr:to>
      <xdr:col>5</xdr:col>
      <xdr:colOff>600075</xdr:colOff>
      <xdr:row>66</xdr:row>
      <xdr:rowOff>28574</xdr:rowOff>
    </xdr:to>
    <xdr:sp macro="" textlink="">
      <xdr:nvSpPr>
        <xdr:cNvPr id="26" name="Rectangle 25">
          <a:extLst>
            <a:ext uri="{FF2B5EF4-FFF2-40B4-BE49-F238E27FC236}">
              <a16:creationId xmlns:a16="http://schemas.microsoft.com/office/drawing/2014/main" id="{00000000-0008-0000-0800-00001A000000}"/>
            </a:ext>
          </a:extLst>
        </xdr:cNvPr>
        <xdr:cNvSpPr/>
      </xdr:nvSpPr>
      <xdr:spPr>
        <a:xfrm>
          <a:off x="1838325" y="13411199"/>
          <a:ext cx="180975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600075</xdr:colOff>
      <xdr:row>65</xdr:row>
      <xdr:rowOff>4763</xdr:rowOff>
    </xdr:from>
    <xdr:to>
      <xdr:col>6</xdr:col>
      <xdr:colOff>228600</xdr:colOff>
      <xdr:row>65</xdr:row>
      <xdr:rowOff>119062</xdr:rowOff>
    </xdr:to>
    <xdr:cxnSp macro="">
      <xdr:nvCxnSpPr>
        <xdr:cNvPr id="27" name="Straight Arrow Connector 26">
          <a:extLst>
            <a:ext uri="{FF2B5EF4-FFF2-40B4-BE49-F238E27FC236}">
              <a16:creationId xmlns:a16="http://schemas.microsoft.com/office/drawing/2014/main" id="{00000000-0008-0000-0800-00001B000000}"/>
            </a:ext>
          </a:extLst>
        </xdr:cNvPr>
        <xdr:cNvCxnSpPr>
          <a:stCxn id="28" idx="1"/>
          <a:endCxn id="26" idx="3"/>
        </xdr:cNvCxnSpPr>
      </xdr:nvCxnSpPr>
      <xdr:spPr>
        <a:xfrm flipH="1">
          <a:off x="3648075" y="13396913"/>
          <a:ext cx="238125" cy="1142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228600</xdr:colOff>
      <xdr:row>63</xdr:row>
      <xdr:rowOff>142875</xdr:rowOff>
    </xdr:from>
    <xdr:to>
      <xdr:col>13</xdr:col>
      <xdr:colOff>66675</xdr:colOff>
      <xdr:row>66</xdr:row>
      <xdr:rowOff>57151</xdr:rowOff>
    </xdr:to>
    <xdr:sp macro="" textlink="">
      <xdr:nvSpPr>
        <xdr:cNvPr id="28" name="TextBox 27">
          <a:extLst>
            <a:ext uri="{FF2B5EF4-FFF2-40B4-BE49-F238E27FC236}">
              <a16:creationId xmlns:a16="http://schemas.microsoft.com/office/drawing/2014/main" id="{00000000-0008-0000-0800-00001C000000}"/>
            </a:ext>
          </a:extLst>
        </xdr:cNvPr>
        <xdr:cNvSpPr txBox="1"/>
      </xdr:nvSpPr>
      <xdr:spPr>
        <a:xfrm>
          <a:off x="3886200" y="13154025"/>
          <a:ext cx="41052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0</xdr:col>
      <xdr:colOff>0</xdr:colOff>
      <xdr:row>74</xdr:row>
      <xdr:rowOff>9525</xdr:rowOff>
    </xdr:from>
    <xdr:to>
      <xdr:col>10</xdr:col>
      <xdr:colOff>0</xdr:colOff>
      <xdr:row>77</xdr:row>
      <xdr:rowOff>19050</xdr:rowOff>
    </xdr:to>
    <xdr:sp macro="" textlink="">
      <xdr:nvSpPr>
        <xdr:cNvPr id="29" name="Rectangle 28">
          <a:extLst>
            <a:ext uri="{FF2B5EF4-FFF2-40B4-BE49-F238E27FC236}">
              <a16:creationId xmlns:a16="http://schemas.microsoft.com/office/drawing/2014/main" id="{00000000-0008-0000-0800-00001D000000}"/>
            </a:ext>
          </a:extLst>
        </xdr:cNvPr>
        <xdr:cNvSpPr/>
      </xdr:nvSpPr>
      <xdr:spPr>
        <a:xfrm>
          <a:off x="0" y="15116175"/>
          <a:ext cx="6096000" cy="581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419100</xdr:colOff>
      <xdr:row>73</xdr:row>
      <xdr:rowOff>57149</xdr:rowOff>
    </xdr:from>
    <xdr:to>
      <xdr:col>16</xdr:col>
      <xdr:colOff>333375</xdr:colOff>
      <xdr:row>75</xdr:row>
      <xdr:rowOff>161925</xdr:rowOff>
    </xdr:to>
    <xdr:sp macro="" textlink="">
      <xdr:nvSpPr>
        <xdr:cNvPr id="30" name="TextBox 29">
          <a:extLst>
            <a:ext uri="{FF2B5EF4-FFF2-40B4-BE49-F238E27FC236}">
              <a16:creationId xmlns:a16="http://schemas.microsoft.com/office/drawing/2014/main" id="{00000000-0008-0000-0800-00001E000000}"/>
            </a:ext>
          </a:extLst>
        </xdr:cNvPr>
        <xdr:cNvSpPr txBox="1"/>
      </xdr:nvSpPr>
      <xdr:spPr>
        <a:xfrm>
          <a:off x="6515100" y="14973299"/>
          <a:ext cx="35718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twoCellAnchor>
    <xdr:from>
      <xdr:col>10</xdr:col>
      <xdr:colOff>0</xdr:colOff>
      <xdr:row>74</xdr:row>
      <xdr:rowOff>109537</xdr:rowOff>
    </xdr:from>
    <xdr:to>
      <xdr:col>10</xdr:col>
      <xdr:colOff>419100</xdr:colOff>
      <xdr:row>75</xdr:row>
      <xdr:rowOff>109538</xdr:rowOff>
    </xdr:to>
    <xdr:cxnSp macro="">
      <xdr:nvCxnSpPr>
        <xdr:cNvPr id="31" name="Straight Arrow Connector 30">
          <a:extLst>
            <a:ext uri="{FF2B5EF4-FFF2-40B4-BE49-F238E27FC236}">
              <a16:creationId xmlns:a16="http://schemas.microsoft.com/office/drawing/2014/main" id="{00000000-0008-0000-0800-00001F000000}"/>
            </a:ext>
          </a:extLst>
        </xdr:cNvPr>
        <xdr:cNvCxnSpPr>
          <a:stCxn id="30" idx="1"/>
          <a:endCxn id="29" idx="3"/>
        </xdr:cNvCxnSpPr>
      </xdr:nvCxnSpPr>
      <xdr:spPr>
        <a:xfrm flipH="1">
          <a:off x="6096000" y="15216187"/>
          <a:ext cx="419100" cy="1905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381000</xdr:colOff>
      <xdr:row>80</xdr:row>
      <xdr:rowOff>57150</xdr:rowOff>
    </xdr:from>
    <xdr:to>
      <xdr:col>17</xdr:col>
      <xdr:colOff>514353</xdr:colOff>
      <xdr:row>82</xdr:row>
      <xdr:rowOff>180977</xdr:rowOff>
    </xdr:to>
    <xdr:sp macro="" textlink="">
      <xdr:nvSpPr>
        <xdr:cNvPr id="32" name="TextBox 31">
          <a:extLst>
            <a:ext uri="{FF2B5EF4-FFF2-40B4-BE49-F238E27FC236}">
              <a16:creationId xmlns:a16="http://schemas.microsoft.com/office/drawing/2014/main" id="{00000000-0008-0000-0800-000020000000}"/>
            </a:ext>
          </a:extLst>
        </xdr:cNvPr>
        <xdr:cNvSpPr txBox="1"/>
      </xdr:nvSpPr>
      <xdr:spPr>
        <a:xfrm>
          <a:off x="7696200" y="16325850"/>
          <a:ext cx="3181353" cy="5048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r>
            <a:rPr lang="zh-CN" altLang="en-US" sz="1100">
              <a:solidFill>
                <a:srgbClr val="FF0000"/>
              </a:solidFill>
              <a:effectLst/>
              <a:latin typeface="+mn-lt"/>
              <a:ea typeface="+mn-ea"/>
              <a:cs typeface="+mn-cs"/>
            </a:rPr>
            <a:t>，使用</a:t>
          </a:r>
          <a:r>
            <a:rPr lang="en-US" altLang="zh-CN" sz="1100">
              <a:solidFill>
                <a:srgbClr val="FF0000"/>
              </a:solidFill>
              <a:effectLst/>
              <a:latin typeface="+mn-lt"/>
              <a:ea typeface="+mn-ea"/>
              <a:cs typeface="+mn-cs"/>
            </a:rPr>
            <a:t>&lt;Ignore&gt;</a:t>
          </a:r>
          <a:r>
            <a:rPr lang="zh-CN" altLang="en-US" sz="1100">
              <a:solidFill>
                <a:srgbClr val="FF0000"/>
              </a:solidFill>
              <a:effectLst/>
              <a:latin typeface="+mn-lt"/>
              <a:ea typeface="+mn-ea"/>
              <a:cs typeface="+mn-cs"/>
            </a:rPr>
            <a:t>进行标记 </a:t>
          </a:r>
          <a:endParaRPr lang="en-US" sz="1100">
            <a:solidFill>
              <a:srgbClr val="FF0000"/>
            </a:solidFill>
            <a:effectLst/>
            <a:latin typeface="+mn-lt"/>
            <a:ea typeface="+mn-ea"/>
            <a:cs typeface="+mn-cs"/>
          </a:endParaRPr>
        </a:p>
      </xdr:txBody>
    </xdr:sp>
    <xdr:clientData/>
  </xdr:twoCellAnchor>
  <xdr:twoCellAnchor>
    <xdr:from>
      <xdr:col>9</xdr:col>
      <xdr:colOff>9524</xdr:colOff>
      <xdr:row>81</xdr:row>
      <xdr:rowOff>161926</xdr:rowOff>
    </xdr:from>
    <xdr:to>
      <xdr:col>12</xdr:col>
      <xdr:colOff>28575</xdr:colOff>
      <xdr:row>83</xdr:row>
      <xdr:rowOff>38100</xdr:rowOff>
    </xdr:to>
    <xdr:sp macro="" textlink="">
      <xdr:nvSpPr>
        <xdr:cNvPr id="33" name="Rectangle 32">
          <a:extLst>
            <a:ext uri="{FF2B5EF4-FFF2-40B4-BE49-F238E27FC236}">
              <a16:creationId xmlns:a16="http://schemas.microsoft.com/office/drawing/2014/main" id="{00000000-0008-0000-0800-000021000000}"/>
            </a:ext>
          </a:extLst>
        </xdr:cNvPr>
        <xdr:cNvSpPr/>
      </xdr:nvSpPr>
      <xdr:spPr>
        <a:xfrm>
          <a:off x="5495924" y="16621126"/>
          <a:ext cx="1847851" cy="25717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28575</xdr:colOff>
      <xdr:row>81</xdr:row>
      <xdr:rowOff>119064</xdr:rowOff>
    </xdr:from>
    <xdr:to>
      <xdr:col>12</xdr:col>
      <xdr:colOff>381000</xdr:colOff>
      <xdr:row>82</xdr:row>
      <xdr:rowOff>100013</xdr:rowOff>
    </xdr:to>
    <xdr:cxnSp macro="">
      <xdr:nvCxnSpPr>
        <xdr:cNvPr id="34" name="Straight Arrow Connector 33">
          <a:extLst>
            <a:ext uri="{FF2B5EF4-FFF2-40B4-BE49-F238E27FC236}">
              <a16:creationId xmlns:a16="http://schemas.microsoft.com/office/drawing/2014/main" id="{00000000-0008-0000-0800-000022000000}"/>
            </a:ext>
          </a:extLst>
        </xdr:cNvPr>
        <xdr:cNvCxnSpPr>
          <a:stCxn id="32" idx="1"/>
          <a:endCxn id="33" idx="3"/>
        </xdr:cNvCxnSpPr>
      </xdr:nvCxnSpPr>
      <xdr:spPr>
        <a:xfrm flipH="1">
          <a:off x="7343775" y="16578264"/>
          <a:ext cx="352425" cy="1714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115</xdr:row>
      <xdr:rowOff>9525</xdr:rowOff>
    </xdr:from>
    <xdr:to>
      <xdr:col>8</xdr:col>
      <xdr:colOff>19050</xdr:colOff>
      <xdr:row>119</xdr:row>
      <xdr:rowOff>19050</xdr:rowOff>
    </xdr:to>
    <xdr:sp macro="" textlink="">
      <xdr:nvSpPr>
        <xdr:cNvPr id="35" name="Rectangle 34">
          <a:extLst>
            <a:ext uri="{FF2B5EF4-FFF2-40B4-BE49-F238E27FC236}">
              <a16:creationId xmlns:a16="http://schemas.microsoft.com/office/drawing/2014/main" id="{00000000-0008-0000-0800-000023000000}"/>
            </a:ext>
          </a:extLst>
        </xdr:cNvPr>
        <xdr:cNvSpPr/>
      </xdr:nvSpPr>
      <xdr:spPr>
        <a:xfrm>
          <a:off x="3667125" y="22202775"/>
          <a:ext cx="1228725" cy="7715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19050</xdr:colOff>
      <xdr:row>116</xdr:row>
      <xdr:rowOff>104776</xdr:rowOff>
    </xdr:from>
    <xdr:to>
      <xdr:col>8</xdr:col>
      <xdr:colOff>352425</xdr:colOff>
      <xdr:row>117</xdr:row>
      <xdr:rowOff>14288</xdr:rowOff>
    </xdr:to>
    <xdr:cxnSp macro="">
      <xdr:nvCxnSpPr>
        <xdr:cNvPr id="36" name="Straight Arrow Connector 35">
          <a:extLst>
            <a:ext uri="{FF2B5EF4-FFF2-40B4-BE49-F238E27FC236}">
              <a16:creationId xmlns:a16="http://schemas.microsoft.com/office/drawing/2014/main" id="{00000000-0008-0000-0800-000024000000}"/>
            </a:ext>
          </a:extLst>
        </xdr:cNvPr>
        <xdr:cNvCxnSpPr>
          <a:stCxn id="37" idx="1"/>
          <a:endCxn id="35" idx="3"/>
        </xdr:cNvCxnSpPr>
      </xdr:nvCxnSpPr>
      <xdr:spPr>
        <a:xfrm flipH="1">
          <a:off x="4895850" y="22488526"/>
          <a:ext cx="333375" cy="10001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352425</xdr:colOff>
      <xdr:row>115</xdr:row>
      <xdr:rowOff>180975</xdr:rowOff>
    </xdr:from>
    <xdr:to>
      <xdr:col>13</xdr:col>
      <xdr:colOff>95250</xdr:colOff>
      <xdr:row>117</xdr:row>
      <xdr:rowOff>28576</xdr:rowOff>
    </xdr:to>
    <xdr:sp macro="" textlink="">
      <xdr:nvSpPr>
        <xdr:cNvPr id="37" name="TextBox 36">
          <a:extLst>
            <a:ext uri="{FF2B5EF4-FFF2-40B4-BE49-F238E27FC236}">
              <a16:creationId xmlns:a16="http://schemas.microsoft.com/office/drawing/2014/main" id="{00000000-0008-0000-0800-000025000000}"/>
            </a:ext>
          </a:extLst>
        </xdr:cNvPr>
        <xdr:cNvSpPr txBox="1"/>
      </xdr:nvSpPr>
      <xdr:spPr>
        <a:xfrm>
          <a:off x="5229225" y="22374225"/>
          <a:ext cx="2790825"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1</xdr:col>
      <xdr:colOff>2</xdr:colOff>
      <xdr:row>123</xdr:row>
      <xdr:rowOff>1</xdr:rowOff>
    </xdr:from>
    <xdr:to>
      <xdr:col>3</xdr:col>
      <xdr:colOff>19050</xdr:colOff>
      <xdr:row>124</xdr:row>
      <xdr:rowOff>0</xdr:rowOff>
    </xdr:to>
    <xdr:sp macro="" textlink="">
      <xdr:nvSpPr>
        <xdr:cNvPr id="38" name="Rectangle 37">
          <a:extLst>
            <a:ext uri="{FF2B5EF4-FFF2-40B4-BE49-F238E27FC236}">
              <a16:creationId xmlns:a16="http://schemas.microsoft.com/office/drawing/2014/main" id="{00000000-0008-0000-0800-000026000000}"/>
            </a:ext>
          </a:extLst>
        </xdr:cNvPr>
        <xdr:cNvSpPr/>
      </xdr:nvSpPr>
      <xdr:spPr>
        <a:xfrm>
          <a:off x="609602" y="23717251"/>
          <a:ext cx="1238248"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19050</xdr:colOff>
      <xdr:row>122</xdr:row>
      <xdr:rowOff>66676</xdr:rowOff>
    </xdr:from>
    <xdr:to>
      <xdr:col>3</xdr:col>
      <xdr:colOff>390525</xdr:colOff>
      <xdr:row>123</xdr:row>
      <xdr:rowOff>95251</xdr:rowOff>
    </xdr:to>
    <xdr:cxnSp macro="">
      <xdr:nvCxnSpPr>
        <xdr:cNvPr id="39" name="Straight Arrow Connector 38">
          <a:extLst>
            <a:ext uri="{FF2B5EF4-FFF2-40B4-BE49-F238E27FC236}">
              <a16:creationId xmlns:a16="http://schemas.microsoft.com/office/drawing/2014/main" id="{00000000-0008-0000-0800-000027000000}"/>
            </a:ext>
          </a:extLst>
        </xdr:cNvPr>
        <xdr:cNvCxnSpPr>
          <a:stCxn id="40" idx="1"/>
          <a:endCxn id="38" idx="3"/>
        </xdr:cNvCxnSpPr>
      </xdr:nvCxnSpPr>
      <xdr:spPr>
        <a:xfrm flipH="1">
          <a:off x="1847850" y="23593426"/>
          <a:ext cx="371475"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390525</xdr:colOff>
      <xdr:row>121</xdr:row>
      <xdr:rowOff>142875</xdr:rowOff>
    </xdr:from>
    <xdr:to>
      <xdr:col>7</xdr:col>
      <xdr:colOff>361950</xdr:colOff>
      <xdr:row>122</xdr:row>
      <xdr:rowOff>180976</xdr:rowOff>
    </xdr:to>
    <xdr:sp macro="" textlink="">
      <xdr:nvSpPr>
        <xdr:cNvPr id="40" name="TextBox 39">
          <a:extLst>
            <a:ext uri="{FF2B5EF4-FFF2-40B4-BE49-F238E27FC236}">
              <a16:creationId xmlns:a16="http://schemas.microsoft.com/office/drawing/2014/main" id="{00000000-0008-0000-0800-000028000000}"/>
            </a:ext>
          </a:extLst>
        </xdr:cNvPr>
        <xdr:cNvSpPr txBox="1"/>
      </xdr:nvSpPr>
      <xdr:spPr>
        <a:xfrm>
          <a:off x="2219325" y="23479125"/>
          <a:ext cx="2409825"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&lt;E</a:t>
          </a:r>
          <a:r>
            <a:rPr lang="en-US" altLang="zh-CN" sz="1100">
              <a:solidFill>
                <a:srgbClr val="FF0000"/>
              </a:solidFill>
            </a:rPr>
            <a:t>mpty</a:t>
          </a:r>
          <a:r>
            <a:rPr lang="en-US" sz="1100">
              <a:solidFill>
                <a:srgbClr val="FF0000"/>
              </a:solidFill>
            </a:rPr>
            <a:t>&gt;</a:t>
          </a:r>
          <a:r>
            <a:rPr lang="zh-CN" altLang="en-US" sz="1100">
              <a:solidFill>
                <a:srgbClr val="FF0000"/>
              </a:solidFill>
            </a:rPr>
            <a:t>标识在执行匹配时匹配空值</a:t>
          </a:r>
          <a:endParaRPr lang="en-US" sz="1100">
            <a:solidFill>
              <a:srgbClr val="FF0000"/>
            </a:solidFill>
          </a:endParaRPr>
        </a:p>
      </xdr:txBody>
    </xdr:sp>
    <xdr:clientData/>
  </xdr:twoCellAnchor>
  <xdr:twoCellAnchor>
    <xdr:from>
      <xdr:col>6</xdr:col>
      <xdr:colOff>600076</xdr:colOff>
      <xdr:row>126</xdr:row>
      <xdr:rowOff>180975</xdr:rowOff>
    </xdr:from>
    <xdr:to>
      <xdr:col>8</xdr:col>
      <xdr:colOff>28576</xdr:colOff>
      <xdr:row>128</xdr:row>
      <xdr:rowOff>19050</xdr:rowOff>
    </xdr:to>
    <xdr:sp macro="" textlink="">
      <xdr:nvSpPr>
        <xdr:cNvPr id="41" name="Rectangle 40">
          <a:extLst>
            <a:ext uri="{FF2B5EF4-FFF2-40B4-BE49-F238E27FC236}">
              <a16:creationId xmlns:a16="http://schemas.microsoft.com/office/drawing/2014/main" id="{00000000-0008-0000-0800-000029000000}"/>
            </a:ext>
          </a:extLst>
        </xdr:cNvPr>
        <xdr:cNvSpPr/>
      </xdr:nvSpPr>
      <xdr:spPr>
        <a:xfrm>
          <a:off x="4257676" y="24469725"/>
          <a:ext cx="647700" cy="2190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314326</xdr:colOff>
      <xdr:row>128</xdr:row>
      <xdr:rowOff>19050</xdr:rowOff>
    </xdr:from>
    <xdr:to>
      <xdr:col>11</xdr:col>
      <xdr:colOff>57150</xdr:colOff>
      <xdr:row>130</xdr:row>
      <xdr:rowOff>114301</xdr:rowOff>
    </xdr:to>
    <xdr:cxnSp macro="">
      <xdr:nvCxnSpPr>
        <xdr:cNvPr id="42" name="Straight Arrow Connector 41">
          <a:extLst>
            <a:ext uri="{FF2B5EF4-FFF2-40B4-BE49-F238E27FC236}">
              <a16:creationId xmlns:a16="http://schemas.microsoft.com/office/drawing/2014/main" id="{00000000-0008-0000-0800-00002A000000}"/>
            </a:ext>
          </a:extLst>
        </xdr:cNvPr>
        <xdr:cNvCxnSpPr>
          <a:stCxn id="43" idx="0"/>
          <a:endCxn id="41" idx="2"/>
        </xdr:cNvCxnSpPr>
      </xdr:nvCxnSpPr>
      <xdr:spPr>
        <a:xfrm flipH="1" flipV="1">
          <a:off x="4581526" y="24688800"/>
          <a:ext cx="2181224" cy="6667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371475</xdr:colOff>
      <xdr:row>130</xdr:row>
      <xdr:rowOff>114301</xdr:rowOff>
    </xdr:from>
    <xdr:to>
      <xdr:col>15</xdr:col>
      <xdr:colOff>352425</xdr:colOff>
      <xdr:row>131</xdr:row>
      <xdr:rowOff>171451</xdr:rowOff>
    </xdr:to>
    <xdr:sp macro="" textlink="">
      <xdr:nvSpPr>
        <xdr:cNvPr id="43" name="TextBox 42">
          <a:extLst>
            <a:ext uri="{FF2B5EF4-FFF2-40B4-BE49-F238E27FC236}">
              <a16:creationId xmlns:a16="http://schemas.microsoft.com/office/drawing/2014/main" id="{00000000-0008-0000-0800-00002B000000}"/>
            </a:ext>
          </a:extLst>
        </xdr:cNvPr>
        <xdr:cNvSpPr txBox="1"/>
      </xdr:nvSpPr>
      <xdr:spPr>
        <a:xfrm>
          <a:off x="4029075" y="25355551"/>
          <a:ext cx="5467350"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r>
            <a:rPr lang="en-US" altLang="zh-CN" sz="1100">
              <a:solidFill>
                <a:srgbClr val="FF0000"/>
              </a:solidFill>
            </a:rPr>
            <a:t>etc.</a:t>
          </a:r>
          <a:endParaRPr lang="en-US" sz="1100">
            <a:solidFill>
              <a:srgbClr val="FF0000"/>
            </a:solidFill>
          </a:endParaRPr>
        </a:p>
      </xdr:txBody>
    </xdr:sp>
    <xdr:clientData/>
  </xdr:twoCellAnchor>
  <xdr:twoCellAnchor>
    <xdr:from>
      <xdr:col>2</xdr:col>
      <xdr:colOff>0</xdr:colOff>
      <xdr:row>127</xdr:row>
      <xdr:rowOff>0</xdr:rowOff>
    </xdr:from>
    <xdr:to>
      <xdr:col>4</xdr:col>
      <xdr:colOff>19049</xdr:colOff>
      <xdr:row>128</xdr:row>
      <xdr:rowOff>38100</xdr:rowOff>
    </xdr:to>
    <xdr:sp macro="" textlink="">
      <xdr:nvSpPr>
        <xdr:cNvPr id="44" name="Rectangle 43">
          <a:extLst>
            <a:ext uri="{FF2B5EF4-FFF2-40B4-BE49-F238E27FC236}">
              <a16:creationId xmlns:a16="http://schemas.microsoft.com/office/drawing/2014/main" id="{00000000-0008-0000-0800-00002C000000}"/>
            </a:ext>
          </a:extLst>
        </xdr:cNvPr>
        <xdr:cNvSpPr/>
      </xdr:nvSpPr>
      <xdr:spPr>
        <a:xfrm>
          <a:off x="1219200" y="24479250"/>
          <a:ext cx="1238249"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128</xdr:row>
      <xdr:rowOff>38100</xdr:rowOff>
    </xdr:from>
    <xdr:to>
      <xdr:col>3</xdr:col>
      <xdr:colOff>100013</xdr:colOff>
      <xdr:row>130</xdr:row>
      <xdr:rowOff>142876</xdr:rowOff>
    </xdr:to>
    <xdr:cxnSp macro="">
      <xdr:nvCxnSpPr>
        <xdr:cNvPr id="45" name="Straight Arrow Connector 44">
          <a:extLst>
            <a:ext uri="{FF2B5EF4-FFF2-40B4-BE49-F238E27FC236}">
              <a16:creationId xmlns:a16="http://schemas.microsoft.com/office/drawing/2014/main" id="{00000000-0008-0000-0800-00002D000000}"/>
            </a:ext>
          </a:extLst>
        </xdr:cNvPr>
        <xdr:cNvCxnSpPr>
          <a:stCxn id="46" idx="0"/>
          <a:endCxn id="44" idx="2"/>
        </xdr:cNvCxnSpPr>
      </xdr:nvCxnSpPr>
      <xdr:spPr>
        <a:xfrm flipH="1" flipV="1">
          <a:off x="1838325" y="24707850"/>
          <a:ext cx="90488" cy="6762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133350</xdr:colOff>
      <xdr:row>130</xdr:row>
      <xdr:rowOff>142876</xdr:rowOff>
    </xdr:from>
    <xdr:to>
      <xdr:col>6</xdr:col>
      <xdr:colOff>66675</xdr:colOff>
      <xdr:row>132</xdr:row>
      <xdr:rowOff>9525</xdr:rowOff>
    </xdr:to>
    <xdr:sp macro="" textlink="">
      <xdr:nvSpPr>
        <xdr:cNvPr id="46" name="TextBox 45">
          <a:extLst>
            <a:ext uri="{FF2B5EF4-FFF2-40B4-BE49-F238E27FC236}">
              <a16:creationId xmlns:a16="http://schemas.microsoft.com/office/drawing/2014/main" id="{00000000-0008-0000-0800-00002E000000}"/>
            </a:ext>
          </a:extLst>
        </xdr:cNvPr>
        <xdr:cNvSpPr txBox="1"/>
      </xdr:nvSpPr>
      <xdr:spPr>
        <a:xfrm>
          <a:off x="133350" y="25384126"/>
          <a:ext cx="3590925" cy="2476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标识要执行的运算类型，如</a:t>
          </a:r>
          <a:r>
            <a:rPr lang="en-US" altLang="zh-CN" sz="1100">
              <a:solidFill>
                <a:srgbClr val="FF0000"/>
              </a:solidFill>
            </a:rPr>
            <a:t>Text</a:t>
          </a:r>
          <a:r>
            <a:rPr lang="zh-CN" altLang="en-US" sz="1100">
              <a:solidFill>
                <a:srgbClr val="FF0000"/>
              </a:solidFill>
            </a:rPr>
            <a:t>，</a:t>
          </a:r>
          <a:r>
            <a:rPr lang="en-US" altLang="zh-CN" sz="1100">
              <a:solidFill>
                <a:srgbClr val="FF0000"/>
              </a:solidFill>
            </a:rPr>
            <a:t>Number</a:t>
          </a:r>
          <a:r>
            <a:rPr lang="zh-CN" altLang="en-US" sz="1100">
              <a:solidFill>
                <a:srgbClr val="FF0000"/>
              </a:solidFill>
            </a:rPr>
            <a:t>，</a:t>
          </a:r>
          <a:r>
            <a:rPr lang="en-US" altLang="zh-CN" sz="1100">
              <a:solidFill>
                <a:srgbClr val="FF0000"/>
              </a:solidFill>
            </a:rPr>
            <a:t>Date</a:t>
          </a:r>
          <a:r>
            <a:rPr lang="zh-CN" altLang="en-US" sz="1100">
              <a:solidFill>
                <a:srgbClr val="FF0000"/>
              </a:solidFill>
            </a:rPr>
            <a:t>，</a:t>
          </a:r>
          <a:r>
            <a:rPr lang="en-US" altLang="zh-CN" sz="1100">
              <a:solidFill>
                <a:srgbClr val="FF0000"/>
              </a:solidFill>
            </a:rPr>
            <a:t>etc.</a:t>
          </a:r>
          <a:endParaRPr lang="en-US" sz="1100">
            <a:solidFill>
              <a:srgbClr val="FF0000"/>
            </a:solidFill>
          </a:endParaRPr>
        </a:p>
      </xdr:txBody>
    </xdr:sp>
    <xdr:clientData/>
  </xdr:twoCellAnchor>
  <xdr:twoCellAnchor>
    <xdr:from>
      <xdr:col>10</xdr:col>
      <xdr:colOff>28575</xdr:colOff>
      <xdr:row>127</xdr:row>
      <xdr:rowOff>0</xdr:rowOff>
    </xdr:from>
    <xdr:to>
      <xdr:col>12</xdr:col>
      <xdr:colOff>0</xdr:colOff>
      <xdr:row>128</xdr:row>
      <xdr:rowOff>38100</xdr:rowOff>
    </xdr:to>
    <xdr:sp macro="" textlink="">
      <xdr:nvSpPr>
        <xdr:cNvPr id="47" name="Rectangle 46">
          <a:extLst>
            <a:ext uri="{FF2B5EF4-FFF2-40B4-BE49-F238E27FC236}">
              <a16:creationId xmlns:a16="http://schemas.microsoft.com/office/drawing/2014/main" id="{00000000-0008-0000-0800-00002F000000}"/>
            </a:ext>
          </a:extLst>
        </xdr:cNvPr>
        <xdr:cNvSpPr/>
      </xdr:nvSpPr>
      <xdr:spPr>
        <a:xfrm>
          <a:off x="6124575" y="24479250"/>
          <a:ext cx="1190625"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0</xdr:colOff>
      <xdr:row>127</xdr:row>
      <xdr:rowOff>114300</xdr:rowOff>
    </xdr:from>
    <xdr:to>
      <xdr:col>12</xdr:col>
      <xdr:colOff>342900</xdr:colOff>
      <xdr:row>128</xdr:row>
      <xdr:rowOff>14288</xdr:rowOff>
    </xdr:to>
    <xdr:cxnSp macro="">
      <xdr:nvCxnSpPr>
        <xdr:cNvPr id="48" name="Straight Arrow Connector 47">
          <a:extLst>
            <a:ext uri="{FF2B5EF4-FFF2-40B4-BE49-F238E27FC236}">
              <a16:creationId xmlns:a16="http://schemas.microsoft.com/office/drawing/2014/main" id="{00000000-0008-0000-0800-000030000000}"/>
            </a:ext>
          </a:extLst>
        </xdr:cNvPr>
        <xdr:cNvCxnSpPr>
          <a:stCxn id="49" idx="1"/>
          <a:endCxn id="47" idx="3"/>
        </xdr:cNvCxnSpPr>
      </xdr:nvCxnSpPr>
      <xdr:spPr>
        <a:xfrm flipH="1" flipV="1">
          <a:off x="7315200" y="24593550"/>
          <a:ext cx="342900" cy="904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342900</xdr:colOff>
      <xdr:row>127</xdr:row>
      <xdr:rowOff>95251</xdr:rowOff>
    </xdr:from>
    <xdr:to>
      <xdr:col>15</xdr:col>
      <xdr:colOff>276225</xdr:colOff>
      <xdr:row>128</xdr:row>
      <xdr:rowOff>123825</xdr:rowOff>
    </xdr:to>
    <xdr:sp macro="" textlink="">
      <xdr:nvSpPr>
        <xdr:cNvPr id="49" name="TextBox 48">
          <a:extLst>
            <a:ext uri="{FF2B5EF4-FFF2-40B4-BE49-F238E27FC236}">
              <a16:creationId xmlns:a16="http://schemas.microsoft.com/office/drawing/2014/main" id="{00000000-0008-0000-0800-000031000000}"/>
            </a:ext>
          </a:extLst>
        </xdr:cNvPr>
        <xdr:cNvSpPr txBox="1"/>
      </xdr:nvSpPr>
      <xdr:spPr>
        <a:xfrm>
          <a:off x="7658100" y="24574501"/>
          <a:ext cx="1762125" cy="2190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标识要执行运算的固定值</a:t>
          </a:r>
          <a:endParaRPr lang="en-US" sz="1100">
            <a:solidFill>
              <a:srgbClr val="FF0000"/>
            </a:solidFill>
          </a:endParaRPr>
        </a:p>
      </xdr:txBody>
    </xdr:sp>
    <xdr:clientData/>
  </xdr:twoCellAnchor>
  <xdr:twoCellAnchor>
    <xdr:from>
      <xdr:col>2</xdr:col>
      <xdr:colOff>19050</xdr:colOff>
      <xdr:row>168</xdr:row>
      <xdr:rowOff>19050</xdr:rowOff>
    </xdr:from>
    <xdr:to>
      <xdr:col>8</xdr:col>
      <xdr:colOff>9525</xdr:colOff>
      <xdr:row>169</xdr:row>
      <xdr:rowOff>9525</xdr:rowOff>
    </xdr:to>
    <xdr:sp macro="" textlink="">
      <xdr:nvSpPr>
        <xdr:cNvPr id="50" name="Rectangle 49">
          <a:extLst>
            <a:ext uri="{FF2B5EF4-FFF2-40B4-BE49-F238E27FC236}">
              <a16:creationId xmlns:a16="http://schemas.microsoft.com/office/drawing/2014/main" id="{00000000-0008-0000-0800-000032000000}"/>
            </a:ext>
          </a:extLst>
        </xdr:cNvPr>
        <xdr:cNvSpPr/>
      </xdr:nvSpPr>
      <xdr:spPr>
        <a:xfrm>
          <a:off x="1238250" y="32518350"/>
          <a:ext cx="3648075"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9525</xdr:colOff>
      <xdr:row>168</xdr:row>
      <xdr:rowOff>109538</xdr:rowOff>
    </xdr:from>
    <xdr:to>
      <xdr:col>13</xdr:col>
      <xdr:colOff>238125</xdr:colOff>
      <xdr:row>173</xdr:row>
      <xdr:rowOff>52387</xdr:rowOff>
    </xdr:to>
    <xdr:cxnSp macro="">
      <xdr:nvCxnSpPr>
        <xdr:cNvPr id="51" name="Straight Arrow Connector 50">
          <a:extLst>
            <a:ext uri="{FF2B5EF4-FFF2-40B4-BE49-F238E27FC236}">
              <a16:creationId xmlns:a16="http://schemas.microsoft.com/office/drawing/2014/main" id="{00000000-0008-0000-0800-000033000000}"/>
            </a:ext>
          </a:extLst>
        </xdr:cNvPr>
        <xdr:cNvCxnSpPr>
          <a:stCxn id="52" idx="1"/>
          <a:endCxn id="50" idx="3"/>
        </xdr:cNvCxnSpPr>
      </xdr:nvCxnSpPr>
      <xdr:spPr>
        <a:xfrm flipH="1" flipV="1">
          <a:off x="4924425" y="33370838"/>
          <a:ext cx="3933825" cy="8953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238125</xdr:colOff>
      <xdr:row>170</xdr:row>
      <xdr:rowOff>171449</xdr:rowOff>
    </xdr:from>
    <xdr:to>
      <xdr:col>25</xdr:col>
      <xdr:colOff>295275</xdr:colOff>
      <xdr:row>175</xdr:row>
      <xdr:rowOff>123825</xdr:rowOff>
    </xdr:to>
    <xdr:sp macro="" textlink="">
      <xdr:nvSpPr>
        <xdr:cNvPr id="52" name="TextBox 51">
          <a:extLst>
            <a:ext uri="{FF2B5EF4-FFF2-40B4-BE49-F238E27FC236}">
              <a16:creationId xmlns:a16="http://schemas.microsoft.com/office/drawing/2014/main" id="{00000000-0008-0000-0800-000034000000}"/>
            </a:ext>
          </a:extLst>
        </xdr:cNvPr>
        <xdr:cNvSpPr txBox="1"/>
      </xdr:nvSpPr>
      <xdr:spPr>
        <a:xfrm>
          <a:off x="8858250" y="33813749"/>
          <a:ext cx="7372350" cy="904876"/>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对于</a:t>
          </a:r>
          <a:r>
            <a:rPr lang="en-US" altLang="zh-CN" sz="1100">
              <a:solidFill>
                <a:srgbClr val="FF0000"/>
              </a:solidFill>
            </a:rPr>
            <a:t>Text</a:t>
          </a:r>
          <a:r>
            <a:rPr lang="zh-CN" altLang="en-US" sz="1100">
              <a:solidFill>
                <a:srgbClr val="FF0000"/>
              </a:solidFill>
            </a:rPr>
            <a:t>，这几种运算符代表的含义为判断该</a:t>
          </a:r>
          <a:r>
            <a:rPr lang="en-US" altLang="zh-CN" sz="1100">
              <a:solidFill>
                <a:srgbClr val="FF0000"/>
              </a:solidFill>
            </a:rPr>
            <a:t>text</a:t>
          </a:r>
          <a:r>
            <a:rPr lang="zh-CN" altLang="en-US" sz="1100">
              <a:solidFill>
                <a:srgbClr val="FF0000"/>
              </a:solidFill>
            </a:rPr>
            <a:t>的文本长度是否满足条件，</a:t>
          </a:r>
          <a:r>
            <a:rPr lang="zh-CN" altLang="en-US" sz="1100" b="1">
              <a:solidFill>
                <a:srgbClr val="7030A0"/>
              </a:solidFill>
            </a:rPr>
            <a:t>但是对于</a:t>
          </a:r>
          <a:r>
            <a:rPr lang="en-US" altLang="zh-CN" sz="1100" b="1">
              <a:solidFill>
                <a:srgbClr val="7030A0"/>
              </a:solidFill>
            </a:rPr>
            <a:t>=</a:t>
          </a:r>
          <a:r>
            <a:rPr lang="zh-CN" altLang="en-US" sz="1100" b="1">
              <a:solidFill>
                <a:srgbClr val="7030A0"/>
              </a:solidFill>
            </a:rPr>
            <a:t>，可能会有歧义，是判断文本长度是否等于某个值还是判断文本本身是否等于另一个文本 </a:t>
          </a:r>
          <a:r>
            <a:rPr lang="en-US" altLang="zh-CN" sz="1100" b="1">
              <a:solidFill>
                <a:srgbClr val="7030A0"/>
              </a:solidFill>
            </a:rPr>
            <a:t>- temp solution:</a:t>
          </a:r>
          <a:r>
            <a:rPr lang="en-US" altLang="zh-CN" sz="1100" b="1" baseline="0">
              <a:solidFill>
                <a:srgbClr val="7030A0"/>
              </a:solidFill>
            </a:rPr>
            <a:t> =</a:t>
          </a:r>
          <a:r>
            <a:rPr lang="zh-CN" altLang="en-US" sz="1100" b="1" baseline="0">
              <a:solidFill>
                <a:srgbClr val="7030A0"/>
              </a:solidFill>
            </a:rPr>
            <a:t>和</a:t>
          </a:r>
          <a:r>
            <a:rPr lang="en-US" altLang="zh-CN" sz="1100" b="1" baseline="0">
              <a:solidFill>
                <a:srgbClr val="7030A0"/>
              </a:solidFill>
            </a:rPr>
            <a:t>&lt;&gt;</a:t>
          </a:r>
          <a:r>
            <a:rPr lang="zh-CN" altLang="en-US" sz="1100" b="1" baseline="0">
              <a:solidFill>
                <a:srgbClr val="7030A0"/>
              </a:solidFill>
            </a:rPr>
            <a:t>直接算作文本比较</a:t>
          </a:r>
          <a:endParaRPr lang="en-US" altLang="zh-CN" sz="1100" b="1" baseline="0">
            <a:solidFill>
              <a:srgbClr val="7030A0"/>
            </a:solidFill>
          </a:endParaRPr>
        </a:p>
        <a:p>
          <a:endParaRPr lang="en-US" sz="1100" b="1" baseline="0">
            <a:solidFill>
              <a:srgbClr val="7030A0"/>
            </a:solidFill>
          </a:endParaRPr>
        </a:p>
        <a:p>
          <a:r>
            <a:rPr lang="zh-CN" altLang="en-US" sz="1100" b="1" baseline="0">
              <a:solidFill>
                <a:srgbClr val="7030A0"/>
              </a:solidFill>
            </a:rPr>
            <a:t>新加一种计算类型 </a:t>
          </a:r>
          <a:r>
            <a:rPr lang="en-US" altLang="zh-CN" sz="1100" b="1" baseline="0">
              <a:solidFill>
                <a:srgbClr val="7030A0"/>
              </a:solidFill>
            </a:rPr>
            <a:t>- Length</a:t>
          </a:r>
          <a:r>
            <a:rPr lang="zh-CN" altLang="en-US" sz="1100" b="1" baseline="0">
              <a:solidFill>
                <a:srgbClr val="7030A0"/>
              </a:solidFill>
            </a:rPr>
            <a:t>，专门用于解决长度运算</a:t>
          </a:r>
          <a:endParaRPr lang="en-US" sz="1100" b="1">
            <a:solidFill>
              <a:srgbClr val="7030A0"/>
            </a:solidFill>
          </a:endParaRPr>
        </a:p>
      </xdr:txBody>
    </xdr:sp>
    <xdr:clientData/>
  </xdr:twoCellAnchor>
  <xdr:twoCellAnchor>
    <xdr:from>
      <xdr:col>14</xdr:col>
      <xdr:colOff>219075</xdr:colOff>
      <xdr:row>65</xdr:row>
      <xdr:rowOff>19048</xdr:rowOff>
    </xdr:from>
    <xdr:to>
      <xdr:col>25</xdr:col>
      <xdr:colOff>400050</xdr:colOff>
      <xdr:row>71</xdr:row>
      <xdr:rowOff>133350</xdr:rowOff>
    </xdr:to>
    <xdr:sp macro="" textlink="">
      <xdr:nvSpPr>
        <xdr:cNvPr id="53" name="TextBox 52">
          <a:extLst>
            <a:ext uri="{FF2B5EF4-FFF2-40B4-BE49-F238E27FC236}">
              <a16:creationId xmlns:a16="http://schemas.microsoft.com/office/drawing/2014/main" id="{00000000-0008-0000-0800-000035000000}"/>
            </a:ext>
          </a:extLst>
        </xdr:cNvPr>
        <xdr:cNvSpPr txBox="1"/>
      </xdr:nvSpPr>
      <xdr:spPr>
        <a:xfrm>
          <a:off x="8753475" y="13411198"/>
          <a:ext cx="6886575" cy="1257302"/>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UI</a:t>
          </a:r>
          <a:r>
            <a:rPr lang="zh-CN" altLang="en-US" sz="1100">
              <a:solidFill>
                <a:srgbClr val="FF0000"/>
              </a:solidFill>
            </a:rPr>
            <a:t>上的</a:t>
          </a:r>
          <a:r>
            <a:rPr lang="en-US" altLang="zh-CN" sz="1100">
              <a:solidFill>
                <a:srgbClr val="FF0000"/>
              </a:solidFill>
            </a:rPr>
            <a:t>Dep ID</a:t>
          </a:r>
          <a:r>
            <a:rPr lang="zh-CN" altLang="en-US" sz="1100">
              <a:solidFill>
                <a:srgbClr val="FF0000"/>
              </a:solidFill>
            </a:rPr>
            <a:t>可能是一个</a:t>
          </a:r>
          <a:r>
            <a:rPr lang="en-US" altLang="zh-CN" sz="1100">
              <a:solidFill>
                <a:srgbClr val="FF0000"/>
              </a:solidFill>
            </a:rPr>
            <a:t>list</a:t>
          </a:r>
          <a:r>
            <a:rPr lang="zh-CN" altLang="en-US" sz="1100">
              <a:solidFill>
                <a:srgbClr val="FF0000"/>
              </a:solidFill>
            </a:rPr>
            <a:t>，</a:t>
          </a:r>
          <a:r>
            <a:rPr lang="en-US" altLang="zh-CN" sz="1100">
              <a:solidFill>
                <a:srgbClr val="FF0000"/>
              </a:solidFill>
            </a:rPr>
            <a:t>list</a:t>
          </a:r>
          <a:r>
            <a:rPr lang="zh-CN" altLang="en-US" sz="1100">
              <a:solidFill>
                <a:srgbClr val="FF0000"/>
              </a:solidFill>
            </a:rPr>
            <a:t>中的值可能是重复的，但重复的</a:t>
          </a:r>
          <a:r>
            <a:rPr lang="en-US" altLang="zh-CN" sz="1100">
              <a:solidFill>
                <a:srgbClr val="FF0000"/>
              </a:solidFill>
            </a:rPr>
            <a:t>ID</a:t>
          </a:r>
          <a:r>
            <a:rPr lang="zh-CN" altLang="en-US" sz="1100">
              <a:solidFill>
                <a:srgbClr val="FF0000"/>
              </a:solidFill>
            </a:rPr>
            <a:t>不会影响后续的筛选</a:t>
          </a:r>
          <a:endParaRPr lang="en-US" altLang="zh-CN" sz="1100">
            <a:solidFill>
              <a:srgbClr val="FF0000"/>
            </a:solidFill>
          </a:endParaRPr>
        </a:p>
        <a:p>
          <a:endParaRPr lang="en-US" sz="1100">
            <a:solidFill>
              <a:srgbClr val="FF0000"/>
            </a:solidFill>
          </a:endParaRPr>
        </a:p>
        <a:p>
          <a:r>
            <a:rPr lang="zh-CN" altLang="en-US" sz="1100">
              <a:solidFill>
                <a:srgbClr val="FF0000"/>
              </a:solidFill>
            </a:rPr>
            <a:t>在</a:t>
          </a:r>
          <a:r>
            <a:rPr lang="en-US" altLang="zh-CN" sz="1100">
              <a:solidFill>
                <a:srgbClr val="FF0000"/>
              </a:solidFill>
            </a:rPr>
            <a:t>convert js</a:t>
          </a:r>
          <a:r>
            <a:rPr lang="zh-CN" altLang="en-US" sz="1100">
              <a:solidFill>
                <a:srgbClr val="FF0000"/>
              </a:solidFill>
            </a:rPr>
            <a:t>过程中，</a:t>
          </a:r>
          <a:r>
            <a:rPr lang="zh-CN" altLang="en-US" sz="1100" b="1">
              <a:solidFill>
                <a:srgbClr val="FF0000"/>
              </a:solidFill>
            </a:rPr>
            <a:t>添加去重的代码</a:t>
          </a:r>
          <a:br>
            <a:rPr lang="en-US" altLang="zh-CN" sz="1100">
              <a:solidFill>
                <a:srgbClr val="FF0000"/>
              </a:solidFill>
            </a:rPr>
          </a:br>
          <a:endParaRPr lang="en-US" altLang="zh-CN" sz="1100">
            <a:solidFill>
              <a:srgbClr val="FF0000"/>
            </a:solidFill>
          </a:endParaRPr>
        </a:p>
        <a:p>
          <a:r>
            <a:rPr lang="zh-CN" altLang="en-US" sz="1100">
              <a:solidFill>
                <a:srgbClr val="FF0000"/>
              </a:solidFill>
            </a:rPr>
            <a:t>如果需要抓取的数据跨越多个表，如何匹配正确的顺序，如同一个</a:t>
          </a:r>
          <a:r>
            <a:rPr lang="en-US" altLang="zh-CN" sz="1100">
              <a:solidFill>
                <a:srgbClr val="FF0000"/>
              </a:solidFill>
            </a:rPr>
            <a:t>ID</a:t>
          </a:r>
          <a:r>
            <a:rPr lang="zh-CN" altLang="en-US" sz="1100">
              <a:solidFill>
                <a:srgbClr val="FF0000"/>
              </a:solidFill>
            </a:rPr>
            <a:t>下，</a:t>
          </a:r>
          <a:r>
            <a:rPr lang="en-US" altLang="zh-CN" sz="1100">
              <a:solidFill>
                <a:srgbClr val="FF0000"/>
              </a:solidFill>
            </a:rPr>
            <a:t>Name</a:t>
          </a:r>
          <a:r>
            <a:rPr lang="zh-CN" altLang="en-US" sz="1100">
              <a:solidFill>
                <a:srgbClr val="FF0000"/>
              </a:solidFill>
            </a:rPr>
            <a:t>来自一个表，</a:t>
          </a:r>
          <a:r>
            <a:rPr lang="en-US" altLang="zh-CN" sz="1100">
              <a:solidFill>
                <a:srgbClr val="FF0000"/>
              </a:solidFill>
            </a:rPr>
            <a:t>DOB</a:t>
          </a:r>
          <a:r>
            <a:rPr lang="zh-CN" altLang="en-US" sz="1100">
              <a:solidFill>
                <a:srgbClr val="FF0000"/>
              </a:solidFill>
            </a:rPr>
            <a:t>来自另一个表，目前的筛选方法无法将这两个信息匹配成功</a:t>
          </a:r>
          <a:endParaRPr lang="en-US" sz="1100">
            <a:solidFill>
              <a:srgbClr val="FF0000"/>
            </a:solidFill>
          </a:endParaRPr>
        </a:p>
      </xdr:txBody>
    </xdr:sp>
    <xdr:clientData/>
  </xdr:twoCellAnchor>
  <xdr:twoCellAnchor>
    <xdr:from>
      <xdr:col>9</xdr:col>
      <xdr:colOff>152400</xdr:colOff>
      <xdr:row>68</xdr:row>
      <xdr:rowOff>76199</xdr:rowOff>
    </xdr:from>
    <xdr:to>
      <xdr:col>14</xdr:col>
      <xdr:colOff>219075</xdr:colOff>
      <xdr:row>69</xdr:row>
      <xdr:rowOff>152400</xdr:rowOff>
    </xdr:to>
    <xdr:cxnSp macro="">
      <xdr:nvCxnSpPr>
        <xdr:cNvPr id="54" name="Straight Arrow Connector 53">
          <a:extLst>
            <a:ext uri="{FF2B5EF4-FFF2-40B4-BE49-F238E27FC236}">
              <a16:creationId xmlns:a16="http://schemas.microsoft.com/office/drawing/2014/main" id="{00000000-0008-0000-0800-000036000000}"/>
            </a:ext>
          </a:extLst>
        </xdr:cNvPr>
        <xdr:cNvCxnSpPr>
          <a:stCxn id="53" idx="1"/>
        </xdr:cNvCxnSpPr>
      </xdr:nvCxnSpPr>
      <xdr:spPr>
        <a:xfrm flipH="1">
          <a:off x="5638800" y="14039849"/>
          <a:ext cx="3114675" cy="2667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247650</xdr:colOff>
      <xdr:row>156</xdr:row>
      <xdr:rowOff>9525</xdr:rowOff>
    </xdr:from>
    <xdr:to>
      <xdr:col>25</xdr:col>
      <xdr:colOff>76200</xdr:colOff>
      <xdr:row>164</xdr:row>
      <xdr:rowOff>180975</xdr:rowOff>
    </xdr:to>
    <xdr:sp macro="" textlink="">
      <xdr:nvSpPr>
        <xdr:cNvPr id="55" name="Speech Bubble: Rectangle with Corners Rounded 54">
          <a:extLst>
            <a:ext uri="{FF2B5EF4-FFF2-40B4-BE49-F238E27FC236}">
              <a16:creationId xmlns:a16="http://schemas.microsoft.com/office/drawing/2014/main" id="{00000000-0008-0000-0800-000037000000}"/>
            </a:ext>
          </a:extLst>
        </xdr:cNvPr>
        <xdr:cNvSpPr/>
      </xdr:nvSpPr>
      <xdr:spPr>
        <a:xfrm>
          <a:off x="10086975" y="30984825"/>
          <a:ext cx="5924550" cy="1695450"/>
        </a:xfrm>
        <a:prstGeom prst="wedgeRoundRectCallout">
          <a:avLst>
            <a:gd name="adj1" fmla="val -92376"/>
            <a:gd name="adj2" fmla="val 2879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b="1"/>
            <a:t>加到</a:t>
          </a:r>
          <a:r>
            <a:rPr lang="en-US" altLang="zh-CN" sz="1100" b="1"/>
            <a:t>instruction:</a:t>
          </a:r>
        </a:p>
        <a:p>
          <a:pPr algn="l"/>
          <a:r>
            <a:rPr lang="en-US" sz="1100"/>
            <a:t>Calculation </a:t>
          </a:r>
          <a:r>
            <a:rPr lang="zh-CN" altLang="en-US" sz="1100"/>
            <a:t>不允许自己依赖自己</a:t>
          </a:r>
          <a:endParaRPr lang="en-US" altLang="zh-CN" sz="1100"/>
        </a:p>
        <a:p>
          <a:pPr algn="l"/>
          <a:r>
            <a:rPr lang="en-US" altLang="zh-CN" sz="1100"/>
            <a:t>Length Workaround</a:t>
          </a:r>
        </a:p>
        <a:p>
          <a:pPr algn="l"/>
          <a:r>
            <a:rPr lang="en-US" sz="1100"/>
            <a:t>1</a:t>
          </a:r>
          <a:r>
            <a:rPr lang="en-US" altLang="zh-CN" sz="1100"/>
            <a:t>st of current/last month, last day of current month, last month,30 days later</a:t>
          </a:r>
        </a:p>
        <a:p>
          <a:pPr algn="l"/>
          <a:endParaRPr lang="en-US" altLang="zh-CN" sz="1100"/>
        </a:p>
        <a:p>
          <a:pPr algn="l"/>
          <a:endParaRPr lang="en-US" altLang="zh-CN" sz="1100"/>
        </a:p>
        <a:p>
          <a:pPr algn="l"/>
          <a:r>
            <a:rPr lang="en-US" altLang="zh-CN" sz="1100" b="1"/>
            <a:t>Build new rule engine</a:t>
          </a:r>
          <a:r>
            <a:rPr lang="zh-CN" altLang="en-US" sz="1100" b="1"/>
            <a:t>：</a:t>
          </a:r>
          <a:endParaRPr lang="en-US" altLang="zh-CN" sz="1100" b="1"/>
        </a:p>
        <a:p>
          <a:pPr algn="l"/>
          <a:r>
            <a:rPr lang="en-US" altLang="zh-CN" sz="1100"/>
            <a:t>1st date of current month, last date of current month, 30 days later</a:t>
          </a:r>
        </a:p>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mailto:mary_mackson@yahoo.comQWERTYUIOPASDFGHJKLZXCVBMNHGFAF" TargetMode="External"/><Relationship Id="rId1" Type="http://schemas.openxmlformats.org/officeDocument/2006/relationships/hyperlink" Target="mailto:cameron.smith@bennettday.org1111111111111111111111111111111111111111111111111111111111111111111111111111111111111111111111111111"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QI403"/>
  <sheetViews>
    <sheetView topLeftCell="A74" zoomScale="145" zoomScaleNormal="145" workbookViewId="0">
      <selection activeCell="A92" sqref="A92"/>
    </sheetView>
  </sheetViews>
  <sheetFormatPr defaultRowHeight="15"/>
  <cols>
    <col min="1" max="1" width="48.85546875" style="2" bestFit="1" customWidth="1"/>
    <col min="2" max="2" width="45" style="2" customWidth="1"/>
    <col min="3" max="3" width="35.140625" style="2" customWidth="1"/>
    <col min="4" max="4" width="20.7109375" style="2" customWidth="1"/>
    <col min="5" max="5" width="30.7109375" style="2" customWidth="1"/>
    <col min="6" max="6" width="32.140625" style="2" customWidth="1"/>
    <col min="7" max="7" width="20.28515625" style="2" customWidth="1"/>
    <col min="8" max="9" width="9.140625" style="2"/>
    <col min="10" max="10" width="16" style="2" customWidth="1"/>
    <col min="11" max="11" width="9.140625" style="2"/>
    <col min="15" max="15" width="23.140625" customWidth="1"/>
  </cols>
  <sheetData>
    <row r="1" spans="1:11">
      <c r="A1" t="s">
        <v>0</v>
      </c>
      <c r="B1"/>
      <c r="C1"/>
      <c r="D1"/>
      <c r="E1"/>
      <c r="F1"/>
      <c r="G1"/>
      <c r="H1"/>
      <c r="I1"/>
      <c r="J1"/>
      <c r="K1"/>
    </row>
    <row r="2" spans="1:11">
      <c r="A2" t="s">
        <v>1</v>
      </c>
      <c r="B2" t="s">
        <v>2</v>
      </c>
      <c r="C2"/>
      <c r="D2"/>
      <c r="E2"/>
      <c r="F2"/>
      <c r="G2"/>
      <c r="H2"/>
      <c r="I2"/>
      <c r="J2"/>
      <c r="K2"/>
    </row>
    <row r="3" spans="1:11">
      <c r="A3" t="s">
        <v>3</v>
      </c>
      <c r="B3" t="s">
        <v>4</v>
      </c>
      <c r="C3"/>
      <c r="D3"/>
      <c r="E3"/>
      <c r="F3"/>
      <c r="G3"/>
      <c r="H3"/>
      <c r="I3"/>
      <c r="J3"/>
      <c r="K3"/>
    </row>
    <row r="4" spans="1:11">
      <c r="A4" t="s">
        <v>5</v>
      </c>
      <c r="B4" t="s">
        <v>6</v>
      </c>
      <c r="C4"/>
      <c r="D4"/>
      <c r="E4"/>
      <c r="F4"/>
      <c r="G4"/>
      <c r="H4"/>
      <c r="I4"/>
      <c r="J4"/>
      <c r="K4"/>
    </row>
    <row r="5" spans="1:11">
      <c r="A5" t="s">
        <v>7</v>
      </c>
      <c r="B5" s="2" t="s">
        <v>8</v>
      </c>
      <c r="C5"/>
      <c r="D5"/>
      <c r="E5"/>
      <c r="F5"/>
      <c r="G5"/>
      <c r="H5"/>
      <c r="I5"/>
      <c r="J5"/>
      <c r="K5"/>
    </row>
    <row r="6" spans="1:11">
      <c r="A6"/>
      <c r="B6"/>
      <c r="C6"/>
      <c r="D6"/>
      <c r="E6"/>
      <c r="F6"/>
      <c r="G6"/>
      <c r="H6"/>
      <c r="I6"/>
      <c r="J6"/>
      <c r="K6"/>
    </row>
    <row r="7" spans="1:11">
      <c r="A7" s="3" t="s">
        <v>9</v>
      </c>
    </row>
    <row r="8" spans="1:11">
      <c r="A8" s="3" t="s">
        <v>10</v>
      </c>
      <c r="B8" s="2" t="s">
        <v>11</v>
      </c>
    </row>
    <row r="9" spans="1:11">
      <c r="A9" s="3" t="s">
        <v>12</v>
      </c>
      <c r="B9" s="2" t="s">
        <v>13</v>
      </c>
    </row>
    <row r="10" spans="1:11">
      <c r="A10" s="3" t="s">
        <v>14</v>
      </c>
      <c r="B10" s="2" t="s">
        <v>15</v>
      </c>
    </row>
    <row r="11" spans="1:11">
      <c r="A11" s="3" t="s">
        <v>16</v>
      </c>
      <c r="B11" s="2" t="s">
        <v>17</v>
      </c>
    </row>
    <row r="12" spans="1:11">
      <c r="A12" s="3" t="s">
        <v>18</v>
      </c>
      <c r="B12" s="2" t="s">
        <v>19</v>
      </c>
    </row>
    <row r="13" spans="1:11">
      <c r="A13" s="3" t="s">
        <v>20</v>
      </c>
      <c r="B13" s="2" t="s">
        <v>21</v>
      </c>
    </row>
    <row r="14" spans="1:11">
      <c r="A14" s="3" t="s">
        <v>22</v>
      </c>
      <c r="B14" s="2" t="s">
        <v>23</v>
      </c>
    </row>
    <row r="15" spans="1:11">
      <c r="A15" s="3"/>
    </row>
    <row r="16" spans="1:11">
      <c r="A16" s="3" t="s">
        <v>24</v>
      </c>
    </row>
    <row r="17" spans="1:2">
      <c r="A17" s="3" t="s">
        <v>25</v>
      </c>
      <c r="B17" s="2">
        <v>486586</v>
      </c>
    </row>
    <row r="18" spans="1:2">
      <c r="A18" s="3" t="s">
        <v>26</v>
      </c>
      <c r="B18" s="2">
        <v>25930095</v>
      </c>
    </row>
    <row r="19" spans="1:2">
      <c r="A19" s="3" t="s">
        <v>27</v>
      </c>
      <c r="B19" s="2" t="s">
        <v>28</v>
      </c>
    </row>
    <row r="20" spans="1:2">
      <c r="A20" s="3" t="s">
        <v>29</v>
      </c>
      <c r="B20" s="2" t="s">
        <v>30</v>
      </c>
    </row>
    <row r="21" spans="1:2">
      <c r="A21" s="3" t="s">
        <v>31</v>
      </c>
      <c r="B21" s="2" t="s">
        <v>32</v>
      </c>
    </row>
    <row r="22" spans="1:2">
      <c r="A22" s="3" t="s">
        <v>33</v>
      </c>
      <c r="B22" s="2" t="s">
        <v>34</v>
      </c>
    </row>
    <row r="23" spans="1:2">
      <c r="A23" s="3" t="s">
        <v>35</v>
      </c>
      <c r="B23" t="s">
        <v>2</v>
      </c>
    </row>
    <row r="24" spans="1:2">
      <c r="A24" s="3" t="s">
        <v>36</v>
      </c>
      <c r="B24" s="2" t="s">
        <v>34</v>
      </c>
    </row>
    <row r="25" spans="1:2">
      <c r="A25" s="3" t="s">
        <v>37</v>
      </c>
      <c r="B25" s="2" t="s">
        <v>38</v>
      </c>
    </row>
    <row r="26" spans="1:2">
      <c r="A26" s="3" t="s">
        <v>39</v>
      </c>
      <c r="B26" s="2" t="s">
        <v>40</v>
      </c>
    </row>
    <row r="27" spans="1:2">
      <c r="A27" s="3" t="s">
        <v>41</v>
      </c>
      <c r="B27" s="2" t="s">
        <v>42</v>
      </c>
    </row>
    <row r="28" spans="1:2">
      <c r="A28" s="3" t="s">
        <v>43</v>
      </c>
    </row>
    <row r="29" spans="1:2">
      <c r="A29" s="3" t="s">
        <v>44</v>
      </c>
      <c r="B29" s="2" t="s">
        <v>45</v>
      </c>
    </row>
    <row r="30" spans="1:2">
      <c r="A30" s="3" t="s">
        <v>46</v>
      </c>
      <c r="B30" s="2" t="s">
        <v>47</v>
      </c>
    </row>
    <row r="31" spans="1:2">
      <c r="A31" s="3" t="s">
        <v>48</v>
      </c>
      <c r="B31" s="2" t="s">
        <v>49</v>
      </c>
    </row>
    <row r="32" spans="1:2">
      <c r="A32" s="3" t="s">
        <v>50</v>
      </c>
      <c r="B32" s="2" t="s">
        <v>51</v>
      </c>
    </row>
    <row r="33" spans="1:3">
      <c r="A33" s="3" t="s">
        <v>52</v>
      </c>
    </row>
    <row r="34" spans="1:3">
      <c r="A34" s="3" t="s">
        <v>53</v>
      </c>
      <c r="B34" s="2" t="s">
        <v>54</v>
      </c>
    </row>
    <row r="35" spans="1:3">
      <c r="A35" s="3" t="s">
        <v>55</v>
      </c>
      <c r="B35" s="2">
        <v>60</v>
      </c>
    </row>
    <row r="36" spans="1:3">
      <c r="A36" s="3" t="s">
        <v>56</v>
      </c>
      <c r="B36" s="2" t="s">
        <v>57</v>
      </c>
      <c r="C36" s="2" t="s">
        <v>58</v>
      </c>
    </row>
    <row r="37" spans="1:3">
      <c r="A37" s="3" t="s">
        <v>59</v>
      </c>
      <c r="B37" s="2" t="s">
        <v>60</v>
      </c>
    </row>
    <row r="38" spans="1:3">
      <c r="A38" s="3" t="s">
        <v>61</v>
      </c>
      <c r="B38" s="2" t="s">
        <v>62</v>
      </c>
    </row>
    <row r="39" spans="1:3">
      <c r="A39" s="3" t="s">
        <v>63</v>
      </c>
      <c r="B39" s="2" t="s">
        <v>64</v>
      </c>
    </row>
    <row r="40" spans="1:3">
      <c r="A40" s="3" t="s">
        <v>65</v>
      </c>
      <c r="B40" s="2" t="s">
        <v>66</v>
      </c>
    </row>
    <row r="41" spans="1:3">
      <c r="A41" s="3" t="s">
        <v>67</v>
      </c>
      <c r="B41" s="2" t="s">
        <v>62</v>
      </c>
    </row>
    <row r="42" spans="1:3">
      <c r="A42" s="3" t="s">
        <v>68</v>
      </c>
      <c r="B42" s="2" t="s">
        <v>62</v>
      </c>
    </row>
    <row r="43" spans="1:3">
      <c r="A43" s="3" t="s">
        <v>69</v>
      </c>
      <c r="B43" s="2" t="s">
        <v>70</v>
      </c>
    </row>
    <row r="44" spans="1:3">
      <c r="A44" s="3" t="s">
        <v>71</v>
      </c>
    </row>
    <row r="45" spans="1:3">
      <c r="A45" s="3" t="s">
        <v>72</v>
      </c>
      <c r="B45" s="2" t="s">
        <v>73</v>
      </c>
    </row>
    <row r="46" spans="1:3">
      <c r="A46" s="3" t="s">
        <v>74</v>
      </c>
    </row>
    <row r="47" spans="1:3">
      <c r="A47" s="3" t="s">
        <v>75</v>
      </c>
    </row>
    <row r="48" spans="1:3">
      <c r="A48" s="3" t="s">
        <v>76</v>
      </c>
    </row>
    <row r="49" spans="1:2">
      <c r="A49" s="3" t="s">
        <v>77</v>
      </c>
      <c r="B49" s="2" t="s">
        <v>62</v>
      </c>
    </row>
    <row r="50" spans="1:2">
      <c r="A50" s="3" t="s">
        <v>78</v>
      </c>
      <c r="B50" s="2" t="s">
        <v>62</v>
      </c>
    </row>
    <row r="51" spans="1:2">
      <c r="A51" s="3" t="s">
        <v>79</v>
      </c>
      <c r="B51" s="2" t="s">
        <v>62</v>
      </c>
    </row>
    <row r="52" spans="1:2">
      <c r="A52" s="3" t="s">
        <v>80</v>
      </c>
    </row>
    <row r="53" spans="1:2">
      <c r="A53" s="3" t="s">
        <v>81</v>
      </c>
      <c r="B53" s="2" t="s">
        <v>64</v>
      </c>
    </row>
    <row r="54" spans="1:2">
      <c r="A54" s="3" t="s">
        <v>82</v>
      </c>
      <c r="B54" s="2" t="s">
        <v>64</v>
      </c>
    </row>
    <row r="55" spans="1:2">
      <c r="A55" s="3" t="s">
        <v>83</v>
      </c>
      <c r="B55" s="2" t="s">
        <v>84</v>
      </c>
    </row>
    <row r="56" spans="1:2">
      <c r="A56" s="3" t="s">
        <v>85</v>
      </c>
      <c r="B56" s="2" t="s">
        <v>51</v>
      </c>
    </row>
    <row r="57" spans="1:2">
      <c r="A57" s="3" t="s">
        <v>86</v>
      </c>
      <c r="B57" s="2" t="s">
        <v>87</v>
      </c>
    </row>
    <row r="58" spans="1:2">
      <c r="A58" s="3" t="s">
        <v>88</v>
      </c>
      <c r="B58" s="2" t="s">
        <v>89</v>
      </c>
    </row>
    <row r="59" spans="1:2">
      <c r="A59" s="3" t="s">
        <v>90</v>
      </c>
      <c r="B59" s="2" t="s">
        <v>91</v>
      </c>
    </row>
    <row r="60" spans="1:2">
      <c r="A60" s="3" t="s">
        <v>92</v>
      </c>
      <c r="B60" s="2" t="s">
        <v>87</v>
      </c>
    </row>
    <row r="61" spans="1:2">
      <c r="A61" s="3" t="s">
        <v>93</v>
      </c>
      <c r="B61" s="2" t="s">
        <v>94</v>
      </c>
    </row>
    <row r="62" spans="1:2">
      <c r="A62" s="3" t="s">
        <v>95</v>
      </c>
      <c r="B62" s="2" t="s">
        <v>89</v>
      </c>
    </row>
    <row r="63" spans="1:2">
      <c r="A63" s="3" t="s">
        <v>96</v>
      </c>
      <c r="B63" s="2" t="s">
        <v>97</v>
      </c>
    </row>
    <row r="64" spans="1:2">
      <c r="A64" s="3" t="s">
        <v>98</v>
      </c>
      <c r="B64" s="2" t="s">
        <v>99</v>
      </c>
    </row>
    <row r="65" spans="1:19">
      <c r="A65" s="3" t="s">
        <v>100</v>
      </c>
      <c r="B65" s="2" t="str">
        <f>B69</f>
        <v>Child</v>
      </c>
      <c r="C65" s="2" t="str">
        <f t="shared" ref="C65:P65" si="0">C69</f>
        <v>Child</v>
      </c>
      <c r="D65" s="2" t="str">
        <f t="shared" si="0"/>
        <v>Child</v>
      </c>
      <c r="E65" s="2" t="str">
        <f t="shared" si="0"/>
        <v>Child</v>
      </c>
      <c r="F65" s="2" t="str">
        <f t="shared" si="0"/>
        <v>Child</v>
      </c>
      <c r="G65" s="2" t="str">
        <f t="shared" si="0"/>
        <v>Spouse</v>
      </c>
      <c r="H65" s="2" t="str">
        <f t="shared" si="0"/>
        <v>Ex-Spouse</v>
      </c>
      <c r="I65" s="2" t="str">
        <f t="shared" si="0"/>
        <v>Domestic Partner</v>
      </c>
      <c r="J65" s="2" t="str">
        <f t="shared" si="0"/>
        <v>Ex-Civil Union Spouse</v>
      </c>
      <c r="K65" s="2" t="str">
        <f t="shared" si="0"/>
        <v>Civil Union Spouse</v>
      </c>
      <c r="L65" s="2" t="str">
        <f t="shared" si="0"/>
        <v>Ex-Domestic Partner</v>
      </c>
      <c r="M65" s="2" t="str">
        <f t="shared" si="0"/>
        <v>Legal Dependent</v>
      </c>
      <c r="N65" s="2" t="str">
        <f t="shared" si="0"/>
        <v>Deceased Dependent</v>
      </c>
      <c r="O65" s="2" t="str">
        <f t="shared" si="0"/>
        <v>Deceased Spouse</v>
      </c>
      <c r="P65" s="2">
        <f t="shared" si="0"/>
        <v>0</v>
      </c>
    </row>
    <row r="66" spans="1:19">
      <c r="A66" s="3"/>
      <c r="B66" t="str">
        <f>B70&amp;" "&amp;B72</f>
        <v xml:space="preserve"> Burke</v>
      </c>
      <c r="C66" t="str">
        <f t="shared" ref="C66:S66" si="1">C70&amp;" "&amp;C72</f>
        <v>Leoqwertyuiopasdfghjklasdsad Burkeqwertyuiopasdfghjklasdsad</v>
      </c>
      <c r="D66" t="str">
        <f t="shared" si="1"/>
        <v>TestA Burke</v>
      </c>
      <c r="E66" t="str">
        <f t="shared" si="1"/>
        <v>TestB Burke</v>
      </c>
      <c r="F66" t="str">
        <f t="shared" si="1"/>
        <v>TESTC Burke</v>
      </c>
      <c r="G66" t="str">
        <f t="shared" si="1"/>
        <v>TESTD Burke</v>
      </c>
      <c r="H66" t="str">
        <f t="shared" si="1"/>
        <v>TESTF Burke</v>
      </c>
      <c r="I66" t="str">
        <f t="shared" si="1"/>
        <v>TESTG Burke</v>
      </c>
      <c r="J66" t="str">
        <f t="shared" si="1"/>
        <v>TESTH Burke</v>
      </c>
      <c r="K66" t="str">
        <f t="shared" si="1"/>
        <v>TESTI Burke</v>
      </c>
      <c r="L66" t="str">
        <f t="shared" si="1"/>
        <v>TESTJ Burke</v>
      </c>
      <c r="M66" t="str">
        <f t="shared" si="1"/>
        <v>TESTK Burke</v>
      </c>
      <c r="N66" t="str">
        <f t="shared" si="1"/>
        <v>TESTL Burke</v>
      </c>
      <c r="O66" t="str">
        <f t="shared" si="1"/>
        <v>TESTM Burke</v>
      </c>
      <c r="P66" t="str">
        <f t="shared" si="1"/>
        <v>TESTN Burke</v>
      </c>
      <c r="Q66" t="str">
        <f t="shared" si="1"/>
        <v xml:space="preserve"> </v>
      </c>
      <c r="R66" t="str">
        <f t="shared" si="1"/>
        <v xml:space="preserve"> </v>
      </c>
      <c r="S66" t="str">
        <f t="shared" si="1"/>
        <v xml:space="preserve"> </v>
      </c>
    </row>
    <row r="67" spans="1:19">
      <c r="A67" s="13" t="s">
        <v>101</v>
      </c>
      <c r="B67" s="2" t="s">
        <v>11</v>
      </c>
      <c r="C67" s="2" t="s">
        <v>13</v>
      </c>
      <c r="D67" s="2" t="s">
        <v>15</v>
      </c>
      <c r="E67" s="2" t="s">
        <v>17</v>
      </c>
      <c r="F67" s="2" t="s">
        <v>19</v>
      </c>
      <c r="G67" s="2" t="s">
        <v>21</v>
      </c>
      <c r="H67" s="2" t="s">
        <v>23</v>
      </c>
      <c r="I67" s="2" t="s">
        <v>102</v>
      </c>
      <c r="J67" s="2" t="s">
        <v>103</v>
      </c>
      <c r="K67" s="2" t="s">
        <v>104</v>
      </c>
      <c r="L67" s="2" t="s">
        <v>105</v>
      </c>
      <c r="M67" s="2" t="s">
        <v>106</v>
      </c>
      <c r="N67" s="2" t="s">
        <v>107</v>
      </c>
      <c r="O67" s="2" t="s">
        <v>108</v>
      </c>
      <c r="P67" s="2" t="s">
        <v>109</v>
      </c>
    </row>
    <row r="68" spans="1:19">
      <c r="A68" s="13" t="s">
        <v>110</v>
      </c>
      <c r="B68" s="2" t="s">
        <v>111</v>
      </c>
      <c r="C68" s="2">
        <v>252000</v>
      </c>
      <c r="D68" s="2">
        <v>252001</v>
      </c>
      <c r="E68" s="2">
        <v>252002</v>
      </c>
      <c r="F68" s="2">
        <v>252003</v>
      </c>
      <c r="G68" s="2">
        <v>252004</v>
      </c>
      <c r="H68" s="2">
        <v>252005</v>
      </c>
      <c r="I68" s="2">
        <v>252006</v>
      </c>
      <c r="J68" s="2">
        <v>252007</v>
      </c>
      <c r="K68" s="2">
        <v>252008</v>
      </c>
      <c r="L68" s="2">
        <v>252009</v>
      </c>
      <c r="M68" s="2">
        <v>252010</v>
      </c>
      <c r="N68" s="2">
        <v>252011</v>
      </c>
      <c r="O68" s="2">
        <v>252012</v>
      </c>
      <c r="P68" s="2">
        <v>252013</v>
      </c>
    </row>
    <row r="69" spans="1:19">
      <c r="A69" s="3" t="s">
        <v>112</v>
      </c>
      <c r="B69" s="2" t="s">
        <v>113</v>
      </c>
      <c r="C69" t="s">
        <v>113</v>
      </c>
      <c r="D69" t="s">
        <v>113</v>
      </c>
      <c r="E69" t="s">
        <v>113</v>
      </c>
      <c r="F69" t="s">
        <v>113</v>
      </c>
      <c r="G69" t="s">
        <v>114</v>
      </c>
      <c r="H69" t="s">
        <v>115</v>
      </c>
      <c r="I69" t="s">
        <v>116</v>
      </c>
      <c r="J69" t="s">
        <v>117</v>
      </c>
      <c r="K69" t="s">
        <v>118</v>
      </c>
      <c r="L69" t="s">
        <v>119</v>
      </c>
      <c r="M69" t="s">
        <v>120</v>
      </c>
      <c r="N69" t="s">
        <v>121</v>
      </c>
      <c r="O69" t="s">
        <v>122</v>
      </c>
    </row>
    <row r="70" spans="1:19">
      <c r="A70" s="13" t="s">
        <v>27</v>
      </c>
      <c r="C70" t="s">
        <v>123</v>
      </c>
      <c r="D70" t="s">
        <v>124</v>
      </c>
      <c r="E70" t="s">
        <v>125</v>
      </c>
      <c r="F70" t="s">
        <v>126</v>
      </c>
      <c r="G70" t="s">
        <v>127</v>
      </c>
      <c r="H70" t="s">
        <v>128</v>
      </c>
      <c r="I70" t="s">
        <v>129</v>
      </c>
      <c r="J70" t="s">
        <v>130</v>
      </c>
      <c r="K70" t="s">
        <v>131</v>
      </c>
      <c r="L70" t="s">
        <v>132</v>
      </c>
      <c r="M70" t="s">
        <v>133</v>
      </c>
      <c r="N70" t="s">
        <v>134</v>
      </c>
      <c r="O70" t="s">
        <v>135</v>
      </c>
      <c r="P70" t="s">
        <v>136</v>
      </c>
    </row>
    <row r="71" spans="1:19">
      <c r="A71" s="3" t="s">
        <v>29</v>
      </c>
      <c r="C71"/>
      <c r="D71" t="s">
        <v>30</v>
      </c>
      <c r="E71"/>
      <c r="F71"/>
      <c r="G71"/>
      <c r="H71"/>
      <c r="I71"/>
      <c r="J71"/>
      <c r="K71"/>
    </row>
    <row r="72" spans="1:19">
      <c r="A72" s="3" t="s">
        <v>31</v>
      </c>
      <c r="B72" s="2" t="s">
        <v>137</v>
      </c>
      <c r="C72" s="2" t="s">
        <v>138</v>
      </c>
      <c r="D72" s="2" t="s">
        <v>137</v>
      </c>
      <c r="E72" s="2" t="s">
        <v>137</v>
      </c>
      <c r="F72" s="2" t="s">
        <v>137</v>
      </c>
      <c r="G72" s="2" t="s">
        <v>137</v>
      </c>
      <c r="H72" s="2" t="s">
        <v>137</v>
      </c>
      <c r="I72" s="2" t="s">
        <v>137</v>
      </c>
      <c r="J72" s="2" t="s">
        <v>137</v>
      </c>
      <c r="K72" s="2" t="s">
        <v>137</v>
      </c>
      <c r="L72" s="2" t="s">
        <v>137</v>
      </c>
      <c r="M72" s="2" t="s">
        <v>137</v>
      </c>
      <c r="N72" s="2" t="s">
        <v>137</v>
      </c>
      <c r="O72" s="2" t="s">
        <v>137</v>
      </c>
      <c r="P72" s="2" t="s">
        <v>137</v>
      </c>
    </row>
    <row r="73" spans="1:19">
      <c r="A73" s="3" t="s">
        <v>33</v>
      </c>
      <c r="B73" s="2" t="s">
        <v>34</v>
      </c>
      <c r="C73"/>
      <c r="D73"/>
      <c r="E73"/>
      <c r="F73"/>
      <c r="G73"/>
      <c r="H73"/>
      <c r="I73"/>
      <c r="J73"/>
      <c r="K73"/>
    </row>
    <row r="74" spans="1:19">
      <c r="A74" s="3" t="s">
        <v>139</v>
      </c>
      <c r="B74" s="2" t="s">
        <v>140</v>
      </c>
      <c r="C74" s="2" t="s">
        <v>140</v>
      </c>
      <c r="D74" s="2" t="s">
        <v>140</v>
      </c>
      <c r="E74" s="2" t="s">
        <v>140</v>
      </c>
      <c r="F74" s="2" t="s">
        <v>140</v>
      </c>
      <c r="G74" s="2" t="s">
        <v>140</v>
      </c>
      <c r="H74" s="2" t="s">
        <v>140</v>
      </c>
      <c r="I74" s="2" t="s">
        <v>140</v>
      </c>
      <c r="J74" s="2" t="s">
        <v>140</v>
      </c>
      <c r="K74" s="2" t="s">
        <v>140</v>
      </c>
      <c r="L74" s="2" t="s">
        <v>140</v>
      </c>
      <c r="M74" s="2" t="s">
        <v>140</v>
      </c>
      <c r="N74" s="2" t="s">
        <v>140</v>
      </c>
      <c r="O74" s="2" t="s">
        <v>140</v>
      </c>
      <c r="P74" s="2" t="s">
        <v>140</v>
      </c>
    </row>
    <row r="75" spans="1:19">
      <c r="A75" s="3" t="s">
        <v>141</v>
      </c>
      <c r="B75" s="2" t="s">
        <v>34</v>
      </c>
      <c r="C75" s="2" t="s">
        <v>34</v>
      </c>
      <c r="D75" s="2" t="s">
        <v>34</v>
      </c>
      <c r="E75" s="2" t="s">
        <v>34</v>
      </c>
      <c r="F75" s="2" t="s">
        <v>34</v>
      </c>
      <c r="G75" s="2" t="s">
        <v>34</v>
      </c>
      <c r="H75" s="2" t="s">
        <v>34</v>
      </c>
      <c r="I75" s="2" t="s">
        <v>34</v>
      </c>
      <c r="J75" s="2" t="s">
        <v>34</v>
      </c>
      <c r="K75" s="2" t="s">
        <v>34</v>
      </c>
      <c r="L75" s="2" t="s">
        <v>34</v>
      </c>
      <c r="M75" s="2" t="s">
        <v>34</v>
      </c>
      <c r="N75" s="2" t="s">
        <v>34</v>
      </c>
      <c r="O75" s="2" t="s">
        <v>34</v>
      </c>
      <c r="P75" s="2" t="s">
        <v>34</v>
      </c>
    </row>
    <row r="76" spans="1:19">
      <c r="A76" s="3" t="s">
        <v>142</v>
      </c>
      <c r="B76" s="2" t="s">
        <v>143</v>
      </c>
      <c r="C76" s="2" t="s">
        <v>143</v>
      </c>
      <c r="D76" s="2" t="s">
        <v>143</v>
      </c>
      <c r="E76" s="2" t="s">
        <v>143</v>
      </c>
      <c r="F76" s="2" t="s">
        <v>143</v>
      </c>
      <c r="G76" s="2" t="s">
        <v>143</v>
      </c>
      <c r="H76" s="2" t="s">
        <v>143</v>
      </c>
      <c r="I76" s="2" t="s">
        <v>143</v>
      </c>
      <c r="J76" s="2" t="s">
        <v>143</v>
      </c>
      <c r="K76" s="2" t="s">
        <v>143</v>
      </c>
      <c r="L76" s="2" t="s">
        <v>143</v>
      </c>
      <c r="M76" s="2" t="s">
        <v>143</v>
      </c>
      <c r="N76" s="2" t="s">
        <v>143</v>
      </c>
      <c r="O76" s="2" t="s">
        <v>143</v>
      </c>
      <c r="P76" s="2" t="s">
        <v>143</v>
      </c>
    </row>
    <row r="77" spans="1:19">
      <c r="A77" s="3" t="s">
        <v>144</v>
      </c>
      <c r="B77" s="2" t="s">
        <v>145</v>
      </c>
      <c r="C77" s="2" t="s">
        <v>145</v>
      </c>
      <c r="D77" s="2" t="s">
        <v>145</v>
      </c>
      <c r="E77" s="2" t="s">
        <v>145</v>
      </c>
      <c r="F77" s="2" t="s">
        <v>145</v>
      </c>
      <c r="G77" s="2" t="s">
        <v>145</v>
      </c>
      <c r="H77" s="2" t="s">
        <v>145</v>
      </c>
      <c r="I77" s="2" t="s">
        <v>145</v>
      </c>
      <c r="J77" s="2" t="s">
        <v>145</v>
      </c>
      <c r="K77" s="2" t="s">
        <v>145</v>
      </c>
      <c r="L77" s="2" t="s">
        <v>145</v>
      </c>
      <c r="M77" s="2" t="s">
        <v>145</v>
      </c>
      <c r="N77" s="2" t="s">
        <v>145</v>
      </c>
      <c r="O77" s="2" t="s">
        <v>145</v>
      </c>
      <c r="P77" s="2" t="s">
        <v>145</v>
      </c>
    </row>
    <row r="78" spans="1:19">
      <c r="A78" s="3" t="s">
        <v>146</v>
      </c>
      <c r="L78" s="2"/>
      <c r="M78" s="2"/>
      <c r="N78" s="2"/>
      <c r="O78" s="2"/>
      <c r="P78" s="2"/>
    </row>
    <row r="79" spans="1:19">
      <c r="A79" s="3" t="s">
        <v>147</v>
      </c>
      <c r="B79" s="2" t="s">
        <v>148</v>
      </c>
      <c r="C79" s="2" t="s">
        <v>148</v>
      </c>
      <c r="D79" s="2" t="s">
        <v>148</v>
      </c>
      <c r="E79" s="2" t="s">
        <v>148</v>
      </c>
      <c r="F79" s="2" t="s">
        <v>148</v>
      </c>
      <c r="G79" s="2" t="s">
        <v>148</v>
      </c>
      <c r="H79" s="2" t="s">
        <v>148</v>
      </c>
      <c r="I79" s="2" t="s">
        <v>148</v>
      </c>
      <c r="J79" s="2" t="s">
        <v>148</v>
      </c>
      <c r="K79" s="2" t="s">
        <v>148</v>
      </c>
      <c r="L79" s="2" t="s">
        <v>148</v>
      </c>
      <c r="M79" s="2" t="s">
        <v>148</v>
      </c>
      <c r="N79" s="2" t="s">
        <v>148</v>
      </c>
      <c r="O79" s="2" t="s">
        <v>148</v>
      </c>
      <c r="P79" s="2" t="s">
        <v>148</v>
      </c>
    </row>
    <row r="80" spans="1:19">
      <c r="A80" s="3" t="s">
        <v>149</v>
      </c>
      <c r="B80" s="2" t="s">
        <v>150</v>
      </c>
      <c r="C80" t="s">
        <v>150</v>
      </c>
      <c r="D80" t="s">
        <v>150</v>
      </c>
      <c r="E80" t="s">
        <v>150</v>
      </c>
      <c r="F80" t="s">
        <v>150</v>
      </c>
      <c r="G80" t="s">
        <v>150</v>
      </c>
      <c r="H80" t="s">
        <v>150</v>
      </c>
      <c r="I80" t="s">
        <v>150</v>
      </c>
      <c r="J80" t="s">
        <v>150</v>
      </c>
      <c r="K80" t="s">
        <v>150</v>
      </c>
      <c r="L80" t="s">
        <v>150</v>
      </c>
      <c r="M80" t="s">
        <v>150</v>
      </c>
      <c r="N80" t="s">
        <v>150</v>
      </c>
      <c r="O80" t="s">
        <v>150</v>
      </c>
      <c r="P80" t="s">
        <v>150</v>
      </c>
    </row>
    <row r="81" spans="1:16">
      <c r="A81" s="3" t="s">
        <v>151</v>
      </c>
      <c r="B81" s="2" t="s">
        <v>152</v>
      </c>
      <c r="C81" t="s">
        <v>152</v>
      </c>
      <c r="D81" t="s">
        <v>152</v>
      </c>
      <c r="E81" t="s">
        <v>152</v>
      </c>
      <c r="F81" t="s">
        <v>152</v>
      </c>
      <c r="G81" t="s">
        <v>152</v>
      </c>
      <c r="H81" t="s">
        <v>152</v>
      </c>
      <c r="I81" t="s">
        <v>152</v>
      </c>
      <c r="J81" t="s">
        <v>152</v>
      </c>
      <c r="K81" t="s">
        <v>152</v>
      </c>
      <c r="L81" t="s">
        <v>152</v>
      </c>
      <c r="M81" t="s">
        <v>152</v>
      </c>
      <c r="N81" t="s">
        <v>152</v>
      </c>
      <c r="O81" t="s">
        <v>152</v>
      </c>
      <c r="P81" t="s">
        <v>152</v>
      </c>
    </row>
    <row r="82" spans="1:16">
      <c r="A82" s="3" t="s">
        <v>153</v>
      </c>
      <c r="B82" s="2" t="s">
        <v>154</v>
      </c>
      <c r="C82" t="s">
        <v>154</v>
      </c>
      <c r="D82" t="s">
        <v>154</v>
      </c>
      <c r="E82" t="s">
        <v>154</v>
      </c>
      <c r="F82" t="s">
        <v>154</v>
      </c>
      <c r="G82" t="s">
        <v>154</v>
      </c>
      <c r="H82" t="s">
        <v>154</v>
      </c>
      <c r="I82" t="s">
        <v>154</v>
      </c>
      <c r="J82" t="s">
        <v>154</v>
      </c>
      <c r="K82" t="s">
        <v>154</v>
      </c>
      <c r="L82" t="s">
        <v>154</v>
      </c>
      <c r="M82" t="s">
        <v>154</v>
      </c>
      <c r="N82" t="s">
        <v>154</v>
      </c>
      <c r="O82" t="s">
        <v>154</v>
      </c>
      <c r="P82" t="s">
        <v>154</v>
      </c>
    </row>
    <row r="83" spans="1:16" s="2" customFormat="1">
      <c r="A83" s="3" t="s">
        <v>53</v>
      </c>
      <c r="B83" s="2" t="s">
        <v>155</v>
      </c>
      <c r="D83" s="2" t="s">
        <v>156</v>
      </c>
      <c r="E83" s="2" t="s">
        <v>156</v>
      </c>
      <c r="F83" s="2" t="s">
        <v>156</v>
      </c>
      <c r="G83" s="2" t="s">
        <v>156</v>
      </c>
      <c r="H83" s="2" t="s">
        <v>156</v>
      </c>
      <c r="I83" s="2" t="s">
        <v>156</v>
      </c>
      <c r="J83" s="2" t="s">
        <v>156</v>
      </c>
      <c r="K83" s="2" t="s">
        <v>156</v>
      </c>
      <c r="L83" s="2" t="s">
        <v>156</v>
      </c>
      <c r="M83" s="2" t="s">
        <v>156</v>
      </c>
      <c r="N83" s="2" t="s">
        <v>156</v>
      </c>
      <c r="O83" s="2" t="s">
        <v>156</v>
      </c>
      <c r="P83" s="2" t="s">
        <v>156</v>
      </c>
    </row>
    <row r="84" spans="1:16">
      <c r="A84" s="3" t="s">
        <v>55</v>
      </c>
      <c r="B84" s="2">
        <v>62</v>
      </c>
      <c r="C84">
        <v>10</v>
      </c>
      <c r="D84">
        <v>10</v>
      </c>
      <c r="E84">
        <v>10</v>
      </c>
      <c r="F84">
        <v>10</v>
      </c>
      <c r="G84">
        <v>10</v>
      </c>
      <c r="H84">
        <v>10</v>
      </c>
      <c r="I84">
        <v>10</v>
      </c>
      <c r="J84">
        <v>10</v>
      </c>
      <c r="K84">
        <v>10</v>
      </c>
      <c r="L84">
        <v>10</v>
      </c>
      <c r="M84">
        <v>10</v>
      </c>
      <c r="N84">
        <v>10</v>
      </c>
      <c r="O84">
        <v>10</v>
      </c>
      <c r="P84">
        <v>10</v>
      </c>
    </row>
    <row r="85" spans="1:16">
      <c r="A85" s="3" t="s">
        <v>56</v>
      </c>
      <c r="B85" t="s">
        <v>157</v>
      </c>
      <c r="C85" s="4" t="s">
        <v>158</v>
      </c>
      <c r="D85" t="s">
        <v>159</v>
      </c>
      <c r="E85" t="s">
        <v>157</v>
      </c>
      <c r="F85"/>
      <c r="G85"/>
      <c r="H85"/>
      <c r="I85"/>
      <c r="J85"/>
      <c r="K85"/>
    </row>
    <row r="86" spans="1:16">
      <c r="A86" s="3" t="s">
        <v>59</v>
      </c>
      <c r="B86" s="2" t="s">
        <v>60</v>
      </c>
      <c r="C86" t="s">
        <v>160</v>
      </c>
      <c r="D86" t="s">
        <v>60</v>
      </c>
      <c r="E86" t="s">
        <v>60</v>
      </c>
      <c r="F86" t="s">
        <v>60</v>
      </c>
      <c r="G86" t="s">
        <v>60</v>
      </c>
      <c r="H86" t="s">
        <v>60</v>
      </c>
      <c r="I86" t="s">
        <v>60</v>
      </c>
      <c r="J86" t="s">
        <v>60</v>
      </c>
      <c r="K86" t="s">
        <v>60</v>
      </c>
      <c r="L86" t="s">
        <v>60</v>
      </c>
      <c r="M86" t="s">
        <v>60</v>
      </c>
      <c r="N86" t="s">
        <v>60</v>
      </c>
      <c r="O86" t="s">
        <v>60</v>
      </c>
      <c r="P86" t="s">
        <v>60</v>
      </c>
    </row>
    <row r="87" spans="1:16">
      <c r="A87" s="3" t="s">
        <v>161</v>
      </c>
      <c r="B87" s="2">
        <v>1</v>
      </c>
      <c r="C87">
        <v>3</v>
      </c>
      <c r="D87">
        <v>3</v>
      </c>
      <c r="E87">
        <v>3</v>
      </c>
      <c r="F87">
        <v>3</v>
      </c>
      <c r="G87">
        <v>3</v>
      </c>
      <c r="H87">
        <v>3</v>
      </c>
      <c r="I87">
        <v>3</v>
      </c>
      <c r="J87">
        <v>3</v>
      </c>
      <c r="K87">
        <v>3</v>
      </c>
      <c r="L87">
        <v>3</v>
      </c>
      <c r="M87">
        <v>3</v>
      </c>
      <c r="N87">
        <v>3</v>
      </c>
      <c r="O87">
        <v>3</v>
      </c>
      <c r="P87">
        <v>3</v>
      </c>
    </row>
    <row r="88" spans="1:16">
      <c r="A88" s="3" t="s">
        <v>63</v>
      </c>
      <c r="B88" s="2" t="s">
        <v>62</v>
      </c>
      <c r="C88" t="s">
        <v>62</v>
      </c>
      <c r="D88" t="s">
        <v>62</v>
      </c>
      <c r="E88" t="s">
        <v>62</v>
      </c>
      <c r="F88" t="s">
        <v>62</v>
      </c>
      <c r="G88" t="s">
        <v>62</v>
      </c>
      <c r="H88" t="s">
        <v>62</v>
      </c>
      <c r="I88" t="s">
        <v>62</v>
      </c>
      <c r="J88" t="s">
        <v>62</v>
      </c>
      <c r="K88" t="s">
        <v>62</v>
      </c>
      <c r="L88" t="s">
        <v>62</v>
      </c>
      <c r="M88" t="s">
        <v>62</v>
      </c>
      <c r="N88" t="s">
        <v>62</v>
      </c>
      <c r="O88" t="s">
        <v>62</v>
      </c>
      <c r="P88" t="s">
        <v>62</v>
      </c>
    </row>
    <row r="89" spans="1:16">
      <c r="A89" s="3" t="s">
        <v>65</v>
      </c>
      <c r="C89"/>
      <c r="D89"/>
      <c r="E89"/>
      <c r="F89"/>
      <c r="G89"/>
      <c r="H89"/>
      <c r="I89"/>
      <c r="J89"/>
      <c r="K89"/>
    </row>
    <row r="90" spans="1:16">
      <c r="A90" s="3" t="s">
        <v>77</v>
      </c>
      <c r="B90" t="s">
        <v>162</v>
      </c>
      <c r="C90" s="5"/>
      <c r="D90" s="5" t="s">
        <v>64</v>
      </c>
      <c r="E90" s="5" t="s">
        <v>64</v>
      </c>
      <c r="F90" s="5" t="s">
        <v>64</v>
      </c>
      <c r="G90" s="5" t="s">
        <v>162</v>
      </c>
      <c r="H90" t="s">
        <v>64</v>
      </c>
      <c r="I90" s="5" t="s">
        <v>64</v>
      </c>
      <c r="J90" s="5" t="s">
        <v>64</v>
      </c>
      <c r="K90" s="5" t="s">
        <v>64</v>
      </c>
      <c r="L90" s="5" t="s">
        <v>64</v>
      </c>
      <c r="M90" s="5" t="s">
        <v>64</v>
      </c>
      <c r="N90" s="5" t="s">
        <v>64</v>
      </c>
      <c r="O90" s="5" t="s">
        <v>64</v>
      </c>
      <c r="P90" s="5"/>
    </row>
    <row r="91" spans="1:16">
      <c r="A91" s="3" t="s">
        <v>163</v>
      </c>
      <c r="C91"/>
      <c r="D91"/>
      <c r="E91"/>
      <c r="F91" t="s">
        <v>64</v>
      </c>
      <c r="G91"/>
      <c r="H91"/>
      <c r="I91"/>
      <c r="J91"/>
      <c r="K91"/>
    </row>
    <row r="92" spans="1:16">
      <c r="A92" s="3" t="s">
        <v>79</v>
      </c>
      <c r="B92" s="2" t="s">
        <v>162</v>
      </c>
      <c r="C92" s="2" t="s">
        <v>162</v>
      </c>
      <c r="D92" s="2" t="s">
        <v>162</v>
      </c>
      <c r="E92" s="2" t="s">
        <v>162</v>
      </c>
      <c r="F92" s="2" t="s">
        <v>162</v>
      </c>
      <c r="G92" s="2" t="s">
        <v>162</v>
      </c>
      <c r="H92" s="2" t="s">
        <v>162</v>
      </c>
      <c r="I92" s="2" t="s">
        <v>162</v>
      </c>
      <c r="J92" s="2" t="s">
        <v>162</v>
      </c>
      <c r="K92" s="2" t="s">
        <v>162</v>
      </c>
      <c r="L92" s="2" t="s">
        <v>162</v>
      </c>
      <c r="M92" s="2" t="s">
        <v>162</v>
      </c>
      <c r="N92" s="2" t="s">
        <v>162</v>
      </c>
      <c r="O92" s="2" t="s">
        <v>162</v>
      </c>
      <c r="P92" s="2" t="s">
        <v>162</v>
      </c>
    </row>
    <row r="93" spans="1:16">
      <c r="A93" s="3" t="s">
        <v>82</v>
      </c>
      <c r="B93" s="2" t="s">
        <v>64</v>
      </c>
      <c r="C93" t="s">
        <v>64</v>
      </c>
      <c r="D93" t="s">
        <v>64</v>
      </c>
      <c r="E93" t="s">
        <v>64</v>
      </c>
      <c r="F93" t="s">
        <v>64</v>
      </c>
      <c r="G93" t="s">
        <v>64</v>
      </c>
      <c r="H93" t="s">
        <v>64</v>
      </c>
      <c r="I93" t="s">
        <v>64</v>
      </c>
      <c r="J93" t="s">
        <v>64</v>
      </c>
      <c r="K93" t="s">
        <v>64</v>
      </c>
      <c r="L93" t="s">
        <v>64</v>
      </c>
      <c r="M93" t="s">
        <v>64</v>
      </c>
      <c r="N93" t="s">
        <v>64</v>
      </c>
      <c r="O93" t="s">
        <v>64</v>
      </c>
      <c r="P93" t="s">
        <v>64</v>
      </c>
    </row>
    <row r="94" spans="1:16">
      <c r="A94" s="3" t="s">
        <v>164</v>
      </c>
      <c r="B94" s="2" t="s">
        <v>64</v>
      </c>
      <c r="C94" s="2" t="s">
        <v>64</v>
      </c>
      <c r="D94" t="s">
        <v>162</v>
      </c>
      <c r="E94"/>
      <c r="F94" t="s">
        <v>64</v>
      </c>
      <c r="G94" t="s">
        <v>64</v>
      </c>
      <c r="H94" t="s">
        <v>64</v>
      </c>
      <c r="I94"/>
      <c r="J94" t="s">
        <v>162</v>
      </c>
      <c r="K94" t="s">
        <v>64</v>
      </c>
      <c r="M94" t="s">
        <v>64</v>
      </c>
      <c r="N94" s="5" t="s">
        <v>64</v>
      </c>
      <c r="O94" s="5" t="s">
        <v>64</v>
      </c>
      <c r="P94" t="s">
        <v>162</v>
      </c>
    </row>
    <row r="95" spans="1:16">
      <c r="A95" s="3" t="s">
        <v>165</v>
      </c>
      <c r="B95" s="2" t="s">
        <v>166</v>
      </c>
      <c r="C95" t="s">
        <v>166</v>
      </c>
      <c r="D95" t="s">
        <v>166</v>
      </c>
      <c r="E95" t="s">
        <v>166</v>
      </c>
      <c r="F95" t="s">
        <v>166</v>
      </c>
      <c r="G95" t="s">
        <v>166</v>
      </c>
      <c r="H95" t="s">
        <v>166</v>
      </c>
      <c r="I95" t="s">
        <v>166</v>
      </c>
      <c r="J95" t="s">
        <v>166</v>
      </c>
      <c r="K95" t="s">
        <v>166</v>
      </c>
      <c r="L95" t="s">
        <v>166</v>
      </c>
      <c r="M95" t="s">
        <v>166</v>
      </c>
      <c r="N95" t="s">
        <v>166</v>
      </c>
      <c r="O95" t="s">
        <v>166</v>
      </c>
      <c r="P95" t="s">
        <v>166</v>
      </c>
    </row>
    <row r="96" spans="1:16">
      <c r="A96" s="3" t="s">
        <v>167</v>
      </c>
      <c r="C96"/>
      <c r="D96"/>
      <c r="E96"/>
      <c r="F96"/>
      <c r="G96"/>
      <c r="H96"/>
      <c r="I96"/>
      <c r="J96"/>
      <c r="K96"/>
    </row>
    <row r="97" spans="1:16">
      <c r="A97" s="3" t="s">
        <v>168</v>
      </c>
      <c r="C97"/>
      <c r="D97"/>
      <c r="E97"/>
      <c r="F97"/>
      <c r="G97"/>
      <c r="H97"/>
      <c r="I97"/>
      <c r="J97"/>
      <c r="K97"/>
    </row>
    <row r="98" spans="1:16">
      <c r="A98" s="3" t="s">
        <v>85</v>
      </c>
      <c r="B98" s="2" t="s">
        <v>169</v>
      </c>
      <c r="C98" s="6">
        <v>44359</v>
      </c>
      <c r="D98" s="6">
        <v>44359</v>
      </c>
      <c r="E98" s="6">
        <v>44359</v>
      </c>
      <c r="F98" s="6">
        <v>44359</v>
      </c>
      <c r="G98" s="6">
        <v>44359</v>
      </c>
      <c r="H98" s="6">
        <v>44359</v>
      </c>
      <c r="I98" s="6">
        <v>44359</v>
      </c>
      <c r="J98" s="6">
        <v>44359</v>
      </c>
      <c r="K98" s="6">
        <v>44359</v>
      </c>
      <c r="L98" s="6">
        <v>44359</v>
      </c>
      <c r="M98" s="6">
        <v>44359</v>
      </c>
      <c r="N98" s="6">
        <v>44359</v>
      </c>
      <c r="O98" s="6">
        <v>44359</v>
      </c>
      <c r="P98" s="6">
        <v>44359</v>
      </c>
    </row>
    <row r="99" spans="1:16">
      <c r="A99" s="3" t="s">
        <v>170</v>
      </c>
      <c r="B99" s="2" t="s">
        <v>87</v>
      </c>
      <c r="C99" t="s">
        <v>87</v>
      </c>
      <c r="D99" t="s">
        <v>87</v>
      </c>
      <c r="E99" t="s">
        <v>87</v>
      </c>
      <c r="F99" t="s">
        <v>87</v>
      </c>
      <c r="G99" t="s">
        <v>87</v>
      </c>
      <c r="H99" t="s">
        <v>87</v>
      </c>
      <c r="I99" t="s">
        <v>87</v>
      </c>
      <c r="J99" t="s">
        <v>87</v>
      </c>
      <c r="K99" t="s">
        <v>87</v>
      </c>
      <c r="L99" t="s">
        <v>87</v>
      </c>
      <c r="M99" t="s">
        <v>87</v>
      </c>
      <c r="N99" t="s">
        <v>87</v>
      </c>
      <c r="O99" t="s">
        <v>87</v>
      </c>
      <c r="P99" t="s">
        <v>87</v>
      </c>
    </row>
    <row r="100" spans="1:16">
      <c r="A100" s="3" t="s">
        <v>88</v>
      </c>
      <c r="B100" s="2" t="s">
        <v>169</v>
      </c>
      <c r="C100" s="6">
        <v>44359</v>
      </c>
      <c r="D100" s="6">
        <v>44359</v>
      </c>
      <c r="E100" s="6">
        <v>44359</v>
      </c>
      <c r="F100" s="6">
        <v>44359</v>
      </c>
      <c r="G100" s="6">
        <v>44359</v>
      </c>
      <c r="H100" s="6">
        <v>44359</v>
      </c>
      <c r="I100" s="6">
        <v>44359</v>
      </c>
      <c r="J100" s="6">
        <v>44359</v>
      </c>
      <c r="K100" s="6">
        <v>44359</v>
      </c>
      <c r="L100" s="6">
        <v>44359</v>
      </c>
      <c r="M100" s="6">
        <v>44359</v>
      </c>
      <c r="N100" s="6">
        <v>44359</v>
      </c>
      <c r="O100" s="6">
        <v>44359</v>
      </c>
      <c r="P100" s="6">
        <v>44359</v>
      </c>
    </row>
    <row r="101" spans="1:16">
      <c r="A101" s="3" t="s">
        <v>90</v>
      </c>
      <c r="B101" s="2" t="s">
        <v>171</v>
      </c>
      <c r="C101" t="s">
        <v>172</v>
      </c>
      <c r="D101" t="s">
        <v>172</v>
      </c>
      <c r="E101" t="s">
        <v>172</v>
      </c>
      <c r="F101" t="s">
        <v>172</v>
      </c>
      <c r="G101" t="s">
        <v>172</v>
      </c>
      <c r="H101" t="s">
        <v>172</v>
      </c>
      <c r="I101" t="s">
        <v>172</v>
      </c>
      <c r="J101" t="s">
        <v>172</v>
      </c>
      <c r="K101" t="s">
        <v>172</v>
      </c>
      <c r="L101" t="s">
        <v>172</v>
      </c>
      <c r="M101" t="s">
        <v>172</v>
      </c>
      <c r="N101" t="s">
        <v>172</v>
      </c>
      <c r="O101" t="s">
        <v>172</v>
      </c>
      <c r="P101" t="s">
        <v>172</v>
      </c>
    </row>
    <row r="102" spans="1:16">
      <c r="A102" s="3" t="s">
        <v>92</v>
      </c>
      <c r="B102" s="2" t="s">
        <v>87</v>
      </c>
      <c r="C102" t="s">
        <v>87</v>
      </c>
      <c r="D102" t="s">
        <v>87</v>
      </c>
      <c r="E102" t="s">
        <v>87</v>
      </c>
      <c r="F102" t="s">
        <v>87</v>
      </c>
      <c r="G102" t="s">
        <v>87</v>
      </c>
      <c r="H102" t="s">
        <v>87</v>
      </c>
      <c r="I102" t="s">
        <v>87</v>
      </c>
      <c r="J102" t="s">
        <v>87</v>
      </c>
      <c r="K102" t="s">
        <v>87</v>
      </c>
      <c r="L102" t="s">
        <v>87</v>
      </c>
      <c r="M102" t="s">
        <v>87</v>
      </c>
      <c r="N102" t="s">
        <v>87</v>
      </c>
      <c r="O102" t="s">
        <v>87</v>
      </c>
      <c r="P102" t="s">
        <v>87</v>
      </c>
    </row>
    <row r="103" spans="1:16">
      <c r="A103" s="3"/>
    </row>
    <row r="104" spans="1:16">
      <c r="A104" s="3" t="s">
        <v>173</v>
      </c>
    </row>
    <row r="105" spans="1:16">
      <c r="A105" s="3" t="s">
        <v>174</v>
      </c>
      <c r="B105" s="2">
        <v>476750</v>
      </c>
    </row>
    <row r="106" spans="1:16">
      <c r="A106" s="3" t="s">
        <v>175</v>
      </c>
      <c r="B106" s="2" t="s">
        <v>176</v>
      </c>
      <c r="C106" s="2" t="s">
        <v>177</v>
      </c>
    </row>
    <row r="107" spans="1:16">
      <c r="A107" s="3" t="s">
        <v>139</v>
      </c>
      <c r="B107" s="2" t="s">
        <v>178</v>
      </c>
      <c r="C107" s="2" t="s">
        <v>178</v>
      </c>
    </row>
    <row r="108" spans="1:16">
      <c r="A108" s="3" t="s">
        <v>141</v>
      </c>
      <c r="B108" s="2" t="s">
        <v>34</v>
      </c>
      <c r="C108" s="2" t="s">
        <v>34</v>
      </c>
    </row>
    <row r="109" spans="1:16">
      <c r="A109" s="3" t="s">
        <v>142</v>
      </c>
    </row>
    <row r="110" spans="1:16">
      <c r="A110" s="3" t="s">
        <v>144</v>
      </c>
      <c r="B110" s="2" t="s">
        <v>179</v>
      </c>
      <c r="C110" s="2" t="s">
        <v>179</v>
      </c>
    </row>
    <row r="111" spans="1:16">
      <c r="A111" s="3" t="s">
        <v>146</v>
      </c>
    </row>
    <row r="112" spans="1:16">
      <c r="A112" s="3" t="s">
        <v>147</v>
      </c>
      <c r="B112" s="2" t="s">
        <v>180</v>
      </c>
      <c r="C112" s="2" t="s">
        <v>180</v>
      </c>
    </row>
    <row r="113" spans="1:4">
      <c r="A113" s="3" t="s">
        <v>181</v>
      </c>
    </row>
    <row r="114" spans="1:4">
      <c r="A114" s="3" t="s">
        <v>182</v>
      </c>
      <c r="B114" s="2" t="s">
        <v>183</v>
      </c>
      <c r="C114" s="2" t="s">
        <v>183</v>
      </c>
    </row>
    <row r="115" spans="1:4">
      <c r="A115" s="3" t="s">
        <v>149</v>
      </c>
      <c r="B115" s="2" t="s">
        <v>150</v>
      </c>
      <c r="C115" s="2" t="s">
        <v>150</v>
      </c>
    </row>
    <row r="116" spans="1:4">
      <c r="A116" s="3" t="s">
        <v>151</v>
      </c>
      <c r="B116" s="2" t="s">
        <v>152</v>
      </c>
      <c r="C116" s="2" t="s">
        <v>152</v>
      </c>
    </row>
    <row r="117" spans="1:4">
      <c r="A117" s="3" t="s">
        <v>153</v>
      </c>
      <c r="B117" s="2" t="s">
        <v>154</v>
      </c>
      <c r="C117" s="2" t="s">
        <v>154</v>
      </c>
    </row>
    <row r="118" spans="1:4">
      <c r="A118" s="3" t="s">
        <v>184</v>
      </c>
      <c r="B118" s="2" t="s">
        <v>150</v>
      </c>
      <c r="C118" s="2" t="s">
        <v>150</v>
      </c>
    </row>
    <row r="119" spans="1:4">
      <c r="A119" s="3" t="s">
        <v>185</v>
      </c>
      <c r="B119" s="2">
        <v>1</v>
      </c>
    </row>
    <row r="120" spans="1:4">
      <c r="A120" s="3"/>
    </row>
    <row r="121" spans="1:4">
      <c r="A121" s="3" t="s">
        <v>186</v>
      </c>
    </row>
    <row r="122" spans="1:4">
      <c r="A122" s="3" t="s">
        <v>187</v>
      </c>
      <c r="B122" s="2" t="s">
        <v>188</v>
      </c>
    </row>
    <row r="123" spans="1:4">
      <c r="A123" s="3" t="s">
        <v>189</v>
      </c>
      <c r="B123" s="2" t="s">
        <v>190</v>
      </c>
    </row>
    <row r="124" spans="1:4">
      <c r="A124" s="3" t="s">
        <v>191</v>
      </c>
    </row>
    <row r="125" spans="1:4">
      <c r="A125" s="3" t="s">
        <v>192</v>
      </c>
    </row>
    <row r="126" spans="1:4">
      <c r="A126" s="3" t="s">
        <v>193</v>
      </c>
      <c r="B126" s="2" t="s">
        <v>194</v>
      </c>
    </row>
    <row r="127" spans="1:4">
      <c r="A127" s="3" t="s">
        <v>195</v>
      </c>
      <c r="B127" s="7" t="s">
        <v>196</v>
      </c>
      <c r="D127"/>
    </row>
    <row r="128" spans="1:4">
      <c r="A128" s="3" t="s">
        <v>197</v>
      </c>
      <c r="B128" s="2" t="s">
        <v>198</v>
      </c>
    </row>
    <row r="129" spans="1:9">
      <c r="A129" s="3"/>
    </row>
    <row r="130" spans="1:9">
      <c r="A130" s="3" t="s">
        <v>199</v>
      </c>
    </row>
    <row r="131" spans="1:9">
      <c r="A131" s="3" t="s">
        <v>200</v>
      </c>
      <c r="B131" s="2">
        <v>365946</v>
      </c>
      <c r="C131" s="2">
        <v>365948</v>
      </c>
      <c r="D131" s="2">
        <v>365954</v>
      </c>
      <c r="E131" s="2">
        <v>253071</v>
      </c>
      <c r="F131" s="2">
        <v>303758</v>
      </c>
      <c r="G131" s="2">
        <v>253070</v>
      </c>
      <c r="H131" s="2">
        <v>303761</v>
      </c>
      <c r="I131" s="2">
        <v>305334</v>
      </c>
    </row>
    <row r="132" spans="1:9">
      <c r="A132" s="3" t="s">
        <v>201</v>
      </c>
      <c r="B132" s="2">
        <v>5854794</v>
      </c>
      <c r="C132" s="2">
        <v>5854799</v>
      </c>
      <c r="D132" s="2">
        <v>5854841</v>
      </c>
      <c r="E132" s="2">
        <v>3956546</v>
      </c>
      <c r="F132" s="2">
        <v>4768560</v>
      </c>
      <c r="G132" s="2">
        <v>3956545</v>
      </c>
      <c r="H132" s="2">
        <v>4768565</v>
      </c>
      <c r="I132" s="2">
        <v>4788309</v>
      </c>
    </row>
    <row r="133" spans="1:9">
      <c r="A133" s="3" t="s">
        <v>202</v>
      </c>
      <c r="B133" s="2" t="s">
        <v>203</v>
      </c>
      <c r="C133" s="2" t="s">
        <v>203</v>
      </c>
      <c r="D133" s="2" t="s">
        <v>203</v>
      </c>
      <c r="E133" s="2" t="s">
        <v>204</v>
      </c>
      <c r="F133" s="2" t="s">
        <v>204</v>
      </c>
      <c r="G133" s="2" t="s">
        <v>204</v>
      </c>
      <c r="H133" s="2" t="s">
        <v>204</v>
      </c>
      <c r="I133" s="2" t="s">
        <v>204</v>
      </c>
    </row>
    <row r="134" spans="1:9">
      <c r="A134" s="3" t="s">
        <v>205</v>
      </c>
      <c r="B134" s="2" t="s">
        <v>206</v>
      </c>
      <c r="C134" s="2" t="s">
        <v>207</v>
      </c>
      <c r="D134" s="2" t="s">
        <v>208</v>
      </c>
      <c r="E134" s="2" t="s">
        <v>206</v>
      </c>
      <c r="F134" s="2" t="s">
        <v>206</v>
      </c>
      <c r="G134" s="2" t="s">
        <v>207</v>
      </c>
      <c r="H134" s="2" t="s">
        <v>207</v>
      </c>
      <c r="I134" s="2" t="s">
        <v>208</v>
      </c>
    </row>
    <row r="135" spans="1:9">
      <c r="A135" s="3" t="s">
        <v>209</v>
      </c>
      <c r="B135" s="2" t="s">
        <v>210</v>
      </c>
      <c r="C135" s="2" t="s">
        <v>66</v>
      </c>
      <c r="D135" s="2" t="s">
        <v>66</v>
      </c>
      <c r="E135" s="2" t="s">
        <v>211</v>
      </c>
      <c r="F135" s="2" t="s">
        <v>212</v>
      </c>
      <c r="G135" s="2" t="s">
        <v>211</v>
      </c>
      <c r="H135" s="2" t="s">
        <v>213</v>
      </c>
      <c r="I135" s="2" t="s">
        <v>214</v>
      </c>
    </row>
    <row r="136" spans="1:9">
      <c r="A136" s="3" t="s">
        <v>215</v>
      </c>
      <c r="B136" s="2" t="s">
        <v>94</v>
      </c>
      <c r="C136" s="2" t="s">
        <v>216</v>
      </c>
      <c r="D136" s="2" t="s">
        <v>216</v>
      </c>
      <c r="E136" s="2" t="s">
        <v>217</v>
      </c>
      <c r="F136" s="2" t="s">
        <v>218</v>
      </c>
      <c r="G136" s="2" t="s">
        <v>217</v>
      </c>
      <c r="H136" s="2" t="s">
        <v>219</v>
      </c>
      <c r="I136" s="2" t="s">
        <v>220</v>
      </c>
    </row>
    <row r="137" spans="1:9">
      <c r="A137" s="3" t="s">
        <v>221</v>
      </c>
      <c r="B137" s="2">
        <v>76.92</v>
      </c>
      <c r="C137" s="2">
        <v>0</v>
      </c>
      <c r="D137" s="2">
        <v>0</v>
      </c>
      <c r="E137" s="2">
        <v>62.5</v>
      </c>
      <c r="F137" s="2">
        <v>76.92</v>
      </c>
      <c r="G137" s="2">
        <v>62.5</v>
      </c>
      <c r="H137" s="2">
        <v>0</v>
      </c>
      <c r="I137" s="2">
        <v>0</v>
      </c>
    </row>
    <row r="138" spans="1:9">
      <c r="A138" s="3" t="s">
        <v>222</v>
      </c>
      <c r="B138" s="2">
        <v>26</v>
      </c>
      <c r="C138" s="2">
        <v>0</v>
      </c>
      <c r="D138" s="2">
        <v>0</v>
      </c>
      <c r="E138" s="2">
        <v>24</v>
      </c>
      <c r="F138" s="2">
        <v>26</v>
      </c>
      <c r="G138" s="2">
        <v>24</v>
      </c>
      <c r="H138" s="2">
        <v>0</v>
      </c>
      <c r="I138" s="2">
        <v>0</v>
      </c>
    </row>
    <row r="139" spans="1:9">
      <c r="A139" s="3" t="s">
        <v>223</v>
      </c>
      <c r="B139" s="2">
        <v>2000</v>
      </c>
      <c r="C139" s="2">
        <v>0</v>
      </c>
      <c r="D139" s="2">
        <v>0</v>
      </c>
      <c r="E139" s="2">
        <v>1500</v>
      </c>
      <c r="F139" s="2">
        <v>2000</v>
      </c>
      <c r="G139" s="2">
        <v>1500</v>
      </c>
      <c r="H139" s="2">
        <v>0</v>
      </c>
      <c r="I139" s="2">
        <v>0</v>
      </c>
    </row>
    <row r="140" spans="1:9">
      <c r="A140" s="3" t="s">
        <v>224</v>
      </c>
      <c r="B140" s="2">
        <v>2000</v>
      </c>
      <c r="C140" s="2">
        <v>0</v>
      </c>
      <c r="D140" s="2">
        <v>0</v>
      </c>
      <c r="E140" s="2">
        <v>1500</v>
      </c>
      <c r="F140" s="2">
        <v>2000</v>
      </c>
      <c r="G140" s="2">
        <v>1500</v>
      </c>
      <c r="H140" s="2">
        <v>0</v>
      </c>
      <c r="I140" s="2">
        <v>0</v>
      </c>
    </row>
    <row r="141" spans="1:9">
      <c r="A141" s="3" t="s">
        <v>225</v>
      </c>
      <c r="B141" s="2">
        <v>0</v>
      </c>
      <c r="C141" s="2">
        <v>0</v>
      </c>
      <c r="D141" s="2">
        <v>0</v>
      </c>
      <c r="E141" s="2">
        <v>0</v>
      </c>
      <c r="F141" s="2">
        <v>0</v>
      </c>
      <c r="G141" s="2">
        <v>0</v>
      </c>
      <c r="H141" s="2">
        <v>0</v>
      </c>
      <c r="I141" s="2">
        <v>0</v>
      </c>
    </row>
    <row r="142" spans="1:9">
      <c r="A142" s="3" t="s">
        <v>226</v>
      </c>
      <c r="B142" s="2">
        <v>0</v>
      </c>
      <c r="C142" s="2">
        <v>0</v>
      </c>
      <c r="D142" s="2">
        <v>0</v>
      </c>
      <c r="E142" s="2">
        <v>0</v>
      </c>
      <c r="F142" s="2">
        <v>0</v>
      </c>
      <c r="G142" s="2">
        <v>0</v>
      </c>
      <c r="H142" s="2">
        <v>0</v>
      </c>
      <c r="I142" s="2">
        <v>0</v>
      </c>
    </row>
    <row r="143" spans="1:9">
      <c r="A143" s="3" t="s">
        <v>227</v>
      </c>
      <c r="B143" s="2">
        <v>0</v>
      </c>
      <c r="C143" s="2">
        <v>0</v>
      </c>
      <c r="D143" s="2">
        <v>0</v>
      </c>
      <c r="E143" s="2">
        <v>0</v>
      </c>
      <c r="F143" s="2">
        <v>0</v>
      </c>
      <c r="G143" s="2">
        <v>0</v>
      </c>
      <c r="H143" s="2">
        <v>0</v>
      </c>
      <c r="I143" s="2">
        <v>0</v>
      </c>
    </row>
    <row r="144" spans="1:9">
      <c r="A144" s="3" t="s">
        <v>228</v>
      </c>
    </row>
    <row r="145" spans="1:61">
      <c r="A145" s="3" t="s">
        <v>229</v>
      </c>
    </row>
    <row r="146" spans="1:61">
      <c r="A146" s="3" t="s">
        <v>230</v>
      </c>
      <c r="C146" s="2" t="s">
        <v>66</v>
      </c>
      <c r="D146" s="2" t="s">
        <v>66</v>
      </c>
      <c r="H146" s="2" t="s">
        <v>213</v>
      </c>
      <c r="I146" s="2" t="s">
        <v>214</v>
      </c>
    </row>
    <row r="147" spans="1:61">
      <c r="A147" s="3" t="s">
        <v>231</v>
      </c>
      <c r="B147" s="2" t="s">
        <v>210</v>
      </c>
      <c r="E147" s="2" t="s">
        <v>211</v>
      </c>
      <c r="F147" s="2" t="s">
        <v>212</v>
      </c>
      <c r="G147" s="2" t="s">
        <v>232</v>
      </c>
    </row>
    <row r="148" spans="1:61">
      <c r="A148" s="3" t="s">
        <v>233</v>
      </c>
    </row>
    <row r="149" spans="1:61">
      <c r="A149" s="3" t="s">
        <v>234</v>
      </c>
      <c r="B149" s="2" t="s">
        <v>89</v>
      </c>
      <c r="C149" s="2" t="s">
        <v>66</v>
      </c>
      <c r="D149" s="2" t="s">
        <v>66</v>
      </c>
      <c r="E149" s="2" t="s">
        <v>212</v>
      </c>
      <c r="F149" s="2" t="s">
        <v>235</v>
      </c>
      <c r="G149" s="2" t="s">
        <v>212</v>
      </c>
      <c r="H149" s="2" t="s">
        <v>213</v>
      </c>
      <c r="I149" s="2" t="s">
        <v>214</v>
      </c>
    </row>
    <row r="150" spans="1:61">
      <c r="A150" s="3" t="s">
        <v>236</v>
      </c>
      <c r="B150" s="2">
        <v>11</v>
      </c>
    </row>
    <row r="151" spans="1:61">
      <c r="A151" s="3" t="s">
        <v>237</v>
      </c>
      <c r="B151" s="2">
        <v>846.12</v>
      </c>
    </row>
    <row r="152" spans="1:61">
      <c r="A152" s="3" t="s">
        <v>238</v>
      </c>
      <c r="B152" s="2" t="s">
        <v>66</v>
      </c>
      <c r="C152" s="2" t="s">
        <v>66</v>
      </c>
      <c r="D152" s="2" t="s">
        <v>66</v>
      </c>
      <c r="E152" s="2" t="s">
        <v>169</v>
      </c>
      <c r="F152" s="2" t="s">
        <v>213</v>
      </c>
      <c r="G152" s="2" t="s">
        <v>169</v>
      </c>
      <c r="H152" s="2" t="s">
        <v>213</v>
      </c>
      <c r="I152" s="2" t="s">
        <v>214</v>
      </c>
    </row>
    <row r="153" spans="1:61">
      <c r="A153" s="3" t="s">
        <v>239</v>
      </c>
    </row>
    <row r="154" spans="1:61">
      <c r="A154" s="3" t="s">
        <v>240</v>
      </c>
      <c r="B154" s="2" t="s">
        <v>66</v>
      </c>
      <c r="C154" s="2" t="s">
        <v>66</v>
      </c>
      <c r="D154" s="2" t="s">
        <v>66</v>
      </c>
      <c r="E154" s="2" t="s">
        <v>169</v>
      </c>
      <c r="F154" s="2" t="s">
        <v>213</v>
      </c>
      <c r="G154" s="2" t="s">
        <v>169</v>
      </c>
      <c r="H154" s="2" t="s">
        <v>213</v>
      </c>
      <c r="I154" s="2" t="s">
        <v>214</v>
      </c>
    </row>
    <row r="155" spans="1:61">
      <c r="A155" s="3" t="s">
        <v>241</v>
      </c>
    </row>
    <row r="156" spans="1:61">
      <c r="A156" s="3" t="s">
        <v>82</v>
      </c>
      <c r="B156" s="2" t="s">
        <v>242</v>
      </c>
      <c r="C156" s="2" t="s">
        <v>242</v>
      </c>
      <c r="D156" s="2" t="s">
        <v>242</v>
      </c>
      <c r="E156" s="2" t="s">
        <v>242</v>
      </c>
      <c r="F156" s="2" t="s">
        <v>242</v>
      </c>
      <c r="G156" s="2" t="s">
        <v>242</v>
      </c>
      <c r="H156" s="2" t="s">
        <v>242</v>
      </c>
      <c r="I156" s="2" t="s">
        <v>242</v>
      </c>
    </row>
    <row r="157" spans="1:61">
      <c r="A157" s="3"/>
    </row>
    <row r="158" spans="1:61">
      <c r="A158" s="13" t="s">
        <v>243</v>
      </c>
    </row>
    <row r="159" spans="1:61">
      <c r="A159" s="3" t="s">
        <v>201</v>
      </c>
      <c r="B159" s="2">
        <v>5854581</v>
      </c>
      <c r="C159" s="2">
        <v>5854598</v>
      </c>
      <c r="D159" s="2">
        <v>5854687</v>
      </c>
      <c r="E159" s="2">
        <v>5854747</v>
      </c>
      <c r="F159" s="2">
        <v>5854751</v>
      </c>
      <c r="G159" s="2">
        <v>5854757</v>
      </c>
      <c r="H159" s="2">
        <v>5854783</v>
      </c>
      <c r="I159" s="2">
        <v>5854794</v>
      </c>
      <c r="J159" s="2">
        <v>5854799</v>
      </c>
      <c r="K159" s="2">
        <v>5854841</v>
      </c>
      <c r="L159">
        <v>5146038</v>
      </c>
      <c r="M159">
        <v>5146046</v>
      </c>
      <c r="N159">
        <v>5146048</v>
      </c>
      <c r="O159">
        <v>5146053</v>
      </c>
      <c r="P159">
        <v>5146054</v>
      </c>
      <c r="Q159">
        <v>6249786</v>
      </c>
      <c r="R159">
        <v>6261241</v>
      </c>
      <c r="S159">
        <v>6249821</v>
      </c>
      <c r="T159">
        <v>6249834</v>
      </c>
      <c r="U159">
        <v>6249867</v>
      </c>
      <c r="V159">
        <v>6249974</v>
      </c>
      <c r="W159">
        <v>6249970</v>
      </c>
      <c r="X159">
        <v>6249975</v>
      </c>
      <c r="Y159">
        <v>3144130</v>
      </c>
      <c r="Z159">
        <v>3146922</v>
      </c>
      <c r="AA159">
        <v>4120289</v>
      </c>
      <c r="AB159">
        <v>3291047</v>
      </c>
      <c r="AC159">
        <v>4120315</v>
      </c>
      <c r="AD159">
        <v>4120301</v>
      </c>
      <c r="AE159">
        <v>3291079</v>
      </c>
      <c r="AF159">
        <v>4481253</v>
      </c>
      <c r="AG159">
        <v>4120318</v>
      </c>
      <c r="AH159">
        <v>3144169</v>
      </c>
      <c r="AI159">
        <v>3146930</v>
      </c>
      <c r="AJ159">
        <v>4120302</v>
      </c>
      <c r="AK159">
        <v>3144216</v>
      </c>
      <c r="AL159">
        <v>3146933</v>
      </c>
      <c r="AM159">
        <v>4120303</v>
      </c>
      <c r="AN159">
        <v>3144259</v>
      </c>
      <c r="AO159">
        <v>3146934</v>
      </c>
      <c r="AP159">
        <v>4120306</v>
      </c>
      <c r="AQ159">
        <v>5162882</v>
      </c>
      <c r="AR159">
        <v>3144389</v>
      </c>
      <c r="AS159">
        <v>3146947</v>
      </c>
      <c r="AT159">
        <v>5162954</v>
      </c>
      <c r="AU159">
        <v>4120308</v>
      </c>
      <c r="AV159">
        <v>3144454</v>
      </c>
      <c r="AW159">
        <v>3146949</v>
      </c>
      <c r="AX159">
        <v>5163026</v>
      </c>
      <c r="AY159">
        <v>4120309</v>
      </c>
      <c r="AZ159">
        <v>3144324</v>
      </c>
      <c r="BA159">
        <v>3146954</v>
      </c>
      <c r="BB159">
        <v>4120312</v>
      </c>
      <c r="BC159">
        <v>4120314</v>
      </c>
      <c r="BD159">
        <v>4120319</v>
      </c>
      <c r="BE159">
        <v>4120322</v>
      </c>
      <c r="BF159">
        <v>4120323</v>
      </c>
      <c r="BG159">
        <v>4120324</v>
      </c>
      <c r="BH159">
        <v>5896523</v>
      </c>
      <c r="BI159">
        <v>5934482</v>
      </c>
    </row>
    <row r="160" spans="1:61">
      <c r="A160" s="3" t="s">
        <v>244</v>
      </c>
      <c r="B160" s="2" t="s">
        <v>245</v>
      </c>
      <c r="C160" s="2" t="s">
        <v>246</v>
      </c>
      <c r="D160" s="2" t="s">
        <v>247</v>
      </c>
      <c r="E160" s="2" t="s">
        <v>248</v>
      </c>
      <c r="F160" s="2" t="s">
        <v>249</v>
      </c>
      <c r="G160" s="2" t="s">
        <v>250</v>
      </c>
      <c r="H160" s="2" t="s">
        <v>251</v>
      </c>
      <c r="I160" s="2" t="s">
        <v>206</v>
      </c>
      <c r="J160" s="2" t="s">
        <v>207</v>
      </c>
      <c r="K160" s="2" t="s">
        <v>208</v>
      </c>
      <c r="L160" t="s">
        <v>252</v>
      </c>
      <c r="M160" t="s">
        <v>206</v>
      </c>
      <c r="N160" t="s">
        <v>207</v>
      </c>
      <c r="O160" t="s">
        <v>208</v>
      </c>
      <c r="P160" t="s">
        <v>253</v>
      </c>
      <c r="Q160" t="s">
        <v>246</v>
      </c>
      <c r="R160" t="s">
        <v>254</v>
      </c>
      <c r="S160" t="s">
        <v>247</v>
      </c>
      <c r="T160" t="s">
        <v>248</v>
      </c>
      <c r="U160" t="s">
        <v>249</v>
      </c>
      <c r="V160" t="s">
        <v>250</v>
      </c>
      <c r="W160" t="s">
        <v>255</v>
      </c>
      <c r="X160" t="s">
        <v>256</v>
      </c>
      <c r="Y160" t="s">
        <v>245</v>
      </c>
      <c r="Z160" t="s">
        <v>245</v>
      </c>
      <c r="AA160" t="s">
        <v>245</v>
      </c>
      <c r="AB160" t="s">
        <v>246</v>
      </c>
      <c r="AC160" t="s">
        <v>246</v>
      </c>
      <c r="AD160" t="s">
        <v>254</v>
      </c>
      <c r="AE160" t="s">
        <v>247</v>
      </c>
      <c r="AF160" t="s">
        <v>247</v>
      </c>
      <c r="AG160" t="s">
        <v>247</v>
      </c>
      <c r="AH160" t="s">
        <v>248</v>
      </c>
      <c r="AI160" t="s">
        <v>248</v>
      </c>
      <c r="AJ160" t="s">
        <v>248</v>
      </c>
      <c r="AK160" t="s">
        <v>249</v>
      </c>
      <c r="AL160" t="s">
        <v>249</v>
      </c>
      <c r="AM160" t="s">
        <v>249</v>
      </c>
      <c r="AN160" t="s">
        <v>257</v>
      </c>
      <c r="AO160" t="s">
        <v>257</v>
      </c>
      <c r="AP160" t="s">
        <v>257</v>
      </c>
      <c r="AQ160" t="s">
        <v>250</v>
      </c>
      <c r="AR160" t="s">
        <v>255</v>
      </c>
      <c r="AS160" t="s">
        <v>255</v>
      </c>
      <c r="AT160" t="s">
        <v>255</v>
      </c>
      <c r="AU160" t="s">
        <v>255</v>
      </c>
      <c r="AV160" t="s">
        <v>256</v>
      </c>
      <c r="AW160" t="s">
        <v>256</v>
      </c>
      <c r="AX160" t="s">
        <v>256</v>
      </c>
      <c r="AY160" t="s">
        <v>256</v>
      </c>
      <c r="AZ160" t="s">
        <v>258</v>
      </c>
      <c r="BA160" t="s">
        <v>258</v>
      </c>
      <c r="BB160" t="s">
        <v>258</v>
      </c>
      <c r="BC160" t="s">
        <v>252</v>
      </c>
      <c r="BD160" t="s">
        <v>206</v>
      </c>
      <c r="BE160" t="s">
        <v>207</v>
      </c>
      <c r="BF160" t="s">
        <v>208</v>
      </c>
      <c r="BG160" t="s">
        <v>253</v>
      </c>
      <c r="BH160" t="s">
        <v>254</v>
      </c>
      <c r="BI160" t="s">
        <v>254</v>
      </c>
    </row>
    <row r="161" spans="1:61">
      <c r="A161" s="3" t="s">
        <v>259</v>
      </c>
      <c r="B161" s="2">
        <v>69398</v>
      </c>
      <c r="C161" s="2">
        <v>69399</v>
      </c>
      <c r="D161" s="2">
        <v>49228</v>
      </c>
      <c r="E161" s="2">
        <v>69402</v>
      </c>
      <c r="F161" s="2">
        <v>69407</v>
      </c>
      <c r="G161" s="2">
        <v>69412</v>
      </c>
      <c r="I161" s="2">
        <v>69426</v>
      </c>
      <c r="J161" s="2">
        <v>69427</v>
      </c>
      <c r="K161" s="2">
        <v>69428</v>
      </c>
      <c r="M161">
        <v>62190</v>
      </c>
      <c r="N161">
        <v>62191</v>
      </c>
      <c r="O161">
        <v>62192</v>
      </c>
      <c r="P161">
        <v>62193</v>
      </c>
      <c r="Q161">
        <v>73447</v>
      </c>
      <c r="R161">
        <v>73459</v>
      </c>
      <c r="S161">
        <v>73444</v>
      </c>
      <c r="T161">
        <v>73446</v>
      </c>
      <c r="U161">
        <v>73441</v>
      </c>
      <c r="V161">
        <v>73448</v>
      </c>
      <c r="W161">
        <v>73449</v>
      </c>
      <c r="X161">
        <v>73450</v>
      </c>
      <c r="Y161">
        <v>41603</v>
      </c>
      <c r="Z161">
        <v>41443</v>
      </c>
      <c r="AA161">
        <v>51161</v>
      </c>
      <c r="AB161">
        <v>43198</v>
      </c>
      <c r="AC161">
        <v>51178</v>
      </c>
      <c r="AD161">
        <v>51164</v>
      </c>
      <c r="AE161">
        <v>43201</v>
      </c>
      <c r="AF161">
        <v>51180</v>
      </c>
      <c r="AG161">
        <v>51180</v>
      </c>
      <c r="AH161">
        <v>41607</v>
      </c>
      <c r="AI161">
        <v>41445</v>
      </c>
      <c r="AJ161">
        <v>51166</v>
      </c>
      <c r="AK161">
        <v>41609</v>
      </c>
      <c r="AL161">
        <v>41448</v>
      </c>
      <c r="AM161">
        <v>51167</v>
      </c>
      <c r="AN161">
        <v>41610</v>
      </c>
      <c r="AO161">
        <v>41449</v>
      </c>
      <c r="AP161">
        <v>51169</v>
      </c>
      <c r="AQ161">
        <v>62182</v>
      </c>
      <c r="AR161">
        <v>41611</v>
      </c>
      <c r="AS161">
        <v>41451</v>
      </c>
      <c r="AT161">
        <v>51170</v>
      </c>
      <c r="AU161">
        <v>62183</v>
      </c>
      <c r="AV161">
        <v>41612</v>
      </c>
      <c r="AW161">
        <v>41452</v>
      </c>
      <c r="AX161">
        <v>51171</v>
      </c>
      <c r="AY161">
        <v>62184</v>
      </c>
      <c r="AZ161">
        <v>41613</v>
      </c>
      <c r="BD161">
        <v>51174</v>
      </c>
      <c r="BE161">
        <v>51175</v>
      </c>
      <c r="BF161">
        <v>51176</v>
      </c>
      <c r="BG161">
        <v>51177</v>
      </c>
      <c r="BH161">
        <v>62189</v>
      </c>
      <c r="BI161">
        <v>62189</v>
      </c>
    </row>
    <row r="162" spans="1:61">
      <c r="A162" s="3" t="s">
        <v>260</v>
      </c>
      <c r="B162" t="s">
        <v>261</v>
      </c>
      <c r="C162" s="2" t="s">
        <v>262</v>
      </c>
      <c r="D162" s="2" t="s">
        <v>263</v>
      </c>
      <c r="E162" s="2" t="s">
        <v>264</v>
      </c>
      <c r="F162" s="2" t="s">
        <v>265</v>
      </c>
      <c r="G162" s="2" t="s">
        <v>266</v>
      </c>
      <c r="I162" s="2" t="s">
        <v>267</v>
      </c>
      <c r="J162" s="2" t="s">
        <v>268</v>
      </c>
      <c r="K162" s="2" t="s">
        <v>269</v>
      </c>
      <c r="M162" t="s">
        <v>270</v>
      </c>
      <c r="N162" t="s">
        <v>271</v>
      </c>
      <c r="O162" t="s">
        <v>272</v>
      </c>
      <c r="P162" t="s">
        <v>273</v>
      </c>
      <c r="Q162" t="s">
        <v>274</v>
      </c>
      <c r="R162" t="s">
        <v>275</v>
      </c>
      <c r="S162" t="s">
        <v>276</v>
      </c>
      <c r="T162" t="s">
        <v>277</v>
      </c>
      <c r="U162" t="s">
        <v>278</v>
      </c>
      <c r="V162" t="s">
        <v>279</v>
      </c>
      <c r="W162" t="s">
        <v>280</v>
      </c>
      <c r="X162" t="s">
        <v>281</v>
      </c>
      <c r="Y162" t="s">
        <v>282</v>
      </c>
      <c r="Z162" t="s">
        <v>283</v>
      </c>
      <c r="AA162" t="s">
        <v>284</v>
      </c>
      <c r="AB162" t="s">
        <v>285</v>
      </c>
      <c r="AC162" t="s">
        <v>286</v>
      </c>
      <c r="AD162" t="s">
        <v>287</v>
      </c>
      <c r="AE162" t="s">
        <v>288</v>
      </c>
      <c r="AF162" t="s">
        <v>289</v>
      </c>
      <c r="AG162" t="s">
        <v>289</v>
      </c>
      <c r="AH162" t="s">
        <v>290</v>
      </c>
      <c r="AI162" t="s">
        <v>291</v>
      </c>
      <c r="AJ162" t="s">
        <v>292</v>
      </c>
      <c r="AK162" t="s">
        <v>293</v>
      </c>
      <c r="AL162" t="s">
        <v>294</v>
      </c>
      <c r="AM162" t="s">
        <v>295</v>
      </c>
      <c r="AN162" t="s">
        <v>296</v>
      </c>
      <c r="AO162" t="s">
        <v>297</v>
      </c>
      <c r="AP162" t="s">
        <v>298</v>
      </c>
      <c r="AQ162" t="s">
        <v>299</v>
      </c>
      <c r="AR162" t="s">
        <v>300</v>
      </c>
      <c r="AS162" t="s">
        <v>301</v>
      </c>
      <c r="AT162" t="s">
        <v>302</v>
      </c>
      <c r="AU162" t="s">
        <v>303</v>
      </c>
      <c r="AV162" t="s">
        <v>304</v>
      </c>
      <c r="AW162" t="s">
        <v>305</v>
      </c>
      <c r="AX162" t="s">
        <v>306</v>
      </c>
      <c r="AY162" t="s">
        <v>307</v>
      </c>
      <c r="AZ162" t="s">
        <v>308</v>
      </c>
      <c r="BD162" t="s">
        <v>309</v>
      </c>
      <c r="BE162" t="s">
        <v>310</v>
      </c>
      <c r="BF162" t="s">
        <v>311</v>
      </c>
      <c r="BG162" t="s">
        <v>312</v>
      </c>
      <c r="BH162" t="s">
        <v>313</v>
      </c>
      <c r="BI162" t="s">
        <v>313</v>
      </c>
    </row>
    <row r="163" spans="1:61">
      <c r="A163" s="3" t="s">
        <v>202</v>
      </c>
      <c r="B163" s="2" t="s">
        <v>203</v>
      </c>
      <c r="C163" s="2" t="s">
        <v>203</v>
      </c>
      <c r="D163" s="2" t="s">
        <v>203</v>
      </c>
      <c r="E163" s="2" t="s">
        <v>203</v>
      </c>
      <c r="F163" s="2" t="s">
        <v>203</v>
      </c>
      <c r="G163" s="2" t="s">
        <v>203</v>
      </c>
      <c r="H163" s="2" t="s">
        <v>203</v>
      </c>
      <c r="I163" s="2" t="s">
        <v>203</v>
      </c>
      <c r="J163" s="2" t="s">
        <v>203</v>
      </c>
      <c r="K163" s="2" t="s">
        <v>203</v>
      </c>
      <c r="L163" t="s">
        <v>203</v>
      </c>
      <c r="M163" t="s">
        <v>203</v>
      </c>
      <c r="N163" t="s">
        <v>203</v>
      </c>
      <c r="O163" t="s">
        <v>203</v>
      </c>
      <c r="P163" t="s">
        <v>203</v>
      </c>
      <c r="Q163" t="s">
        <v>314</v>
      </c>
      <c r="R163" t="s">
        <v>314</v>
      </c>
      <c r="S163" t="s">
        <v>314</v>
      </c>
      <c r="T163" t="s">
        <v>314</v>
      </c>
      <c r="U163" t="s">
        <v>314</v>
      </c>
      <c r="V163" t="s">
        <v>314</v>
      </c>
      <c r="W163" t="s">
        <v>314</v>
      </c>
      <c r="X163" t="s">
        <v>314</v>
      </c>
      <c r="Y163" t="s">
        <v>204</v>
      </c>
      <c r="Z163" t="s">
        <v>204</v>
      </c>
      <c r="AA163" t="s">
        <v>204</v>
      </c>
      <c r="AB163" t="s">
        <v>204</v>
      </c>
      <c r="AC163" t="s">
        <v>204</v>
      </c>
      <c r="AD163" t="s">
        <v>204</v>
      </c>
      <c r="AE163" t="s">
        <v>204</v>
      </c>
      <c r="AF163" t="s">
        <v>204</v>
      </c>
      <c r="AG163" t="s">
        <v>204</v>
      </c>
      <c r="AH163" t="s">
        <v>204</v>
      </c>
      <c r="AI163" t="s">
        <v>204</v>
      </c>
      <c r="AJ163" t="s">
        <v>204</v>
      </c>
      <c r="AK163" t="s">
        <v>204</v>
      </c>
      <c r="AL163" t="s">
        <v>204</v>
      </c>
      <c r="AM163" t="s">
        <v>204</v>
      </c>
      <c r="AN163" t="s">
        <v>204</v>
      </c>
      <c r="AO163" t="s">
        <v>204</v>
      </c>
      <c r="AP163" t="s">
        <v>204</v>
      </c>
      <c r="AQ163" t="s">
        <v>204</v>
      </c>
      <c r="AR163" t="s">
        <v>204</v>
      </c>
      <c r="AS163" t="s">
        <v>204</v>
      </c>
      <c r="AT163" t="s">
        <v>204</v>
      </c>
      <c r="AU163" t="s">
        <v>204</v>
      </c>
      <c r="AV163" t="s">
        <v>204</v>
      </c>
      <c r="AW163" t="s">
        <v>204</v>
      </c>
      <c r="AX163" t="s">
        <v>204</v>
      </c>
      <c r="AY163" t="s">
        <v>204</v>
      </c>
      <c r="AZ163" t="s">
        <v>204</v>
      </c>
      <c r="BA163" t="s">
        <v>204</v>
      </c>
      <c r="BB163" t="s">
        <v>204</v>
      </c>
      <c r="BC163" t="s">
        <v>204</v>
      </c>
      <c r="BD163" t="s">
        <v>204</v>
      </c>
      <c r="BE163" t="s">
        <v>204</v>
      </c>
      <c r="BF163" t="s">
        <v>204</v>
      </c>
      <c r="BG163" t="s">
        <v>204</v>
      </c>
      <c r="BH163" t="s">
        <v>315</v>
      </c>
      <c r="BI163" t="s">
        <v>315</v>
      </c>
    </row>
    <row r="164" spans="1:61">
      <c r="A164" s="3" t="s">
        <v>316</v>
      </c>
      <c r="B164" s="2" t="s">
        <v>34</v>
      </c>
      <c r="C164" s="2" t="s">
        <v>34</v>
      </c>
      <c r="D164" s="2" t="s">
        <v>34</v>
      </c>
      <c r="E164" s="2" t="s">
        <v>34</v>
      </c>
      <c r="F164" s="2" t="s">
        <v>34</v>
      </c>
      <c r="G164" s="2" t="s">
        <v>34</v>
      </c>
      <c r="H164" s="2" t="s">
        <v>34</v>
      </c>
      <c r="I164" s="2" t="s">
        <v>34</v>
      </c>
      <c r="J164" s="2" t="s">
        <v>34</v>
      </c>
      <c r="K164" s="2" t="s">
        <v>34</v>
      </c>
    </row>
    <row r="165" spans="1:61">
      <c r="A165" s="3" t="s">
        <v>317</v>
      </c>
      <c r="B165" s="2" t="s">
        <v>318</v>
      </c>
      <c r="C165" s="2" t="s">
        <v>319</v>
      </c>
      <c r="D165" s="2" t="s">
        <v>320</v>
      </c>
      <c r="E165" s="2" t="s">
        <v>321</v>
      </c>
      <c r="F165" s="2" t="s">
        <v>322</v>
      </c>
      <c r="G165" s="2" t="s">
        <v>318</v>
      </c>
      <c r="Q165">
        <v>24.41</v>
      </c>
      <c r="S165">
        <v>15.92</v>
      </c>
      <c r="T165">
        <v>9.99</v>
      </c>
      <c r="U165">
        <v>10.210000000000001</v>
      </c>
      <c r="V165">
        <v>0</v>
      </c>
      <c r="W165">
        <v>0</v>
      </c>
      <c r="X165">
        <v>0</v>
      </c>
      <c r="Y165">
        <v>463.52</v>
      </c>
      <c r="Z165">
        <v>682.61</v>
      </c>
      <c r="AA165">
        <v>716.74</v>
      </c>
      <c r="AB165">
        <v>56.86</v>
      </c>
      <c r="AC165">
        <v>40</v>
      </c>
      <c r="AE165">
        <v>47.75</v>
      </c>
      <c r="AF165">
        <v>11.75</v>
      </c>
      <c r="AG165">
        <v>15.92</v>
      </c>
      <c r="AH165">
        <v>119.31</v>
      </c>
      <c r="AI165">
        <v>8.76</v>
      </c>
      <c r="AJ165">
        <v>10</v>
      </c>
      <c r="AK165">
        <v>20.41</v>
      </c>
      <c r="AL165">
        <v>10.199999999999999</v>
      </c>
      <c r="AM165">
        <v>10.199999999999999</v>
      </c>
      <c r="AN165">
        <v>0</v>
      </c>
      <c r="AO165">
        <v>0</v>
      </c>
      <c r="AP165">
        <v>0</v>
      </c>
      <c r="AQ165">
        <v>0</v>
      </c>
      <c r="AR165">
        <v>0</v>
      </c>
      <c r="AS165">
        <v>0</v>
      </c>
      <c r="AT165">
        <v>0</v>
      </c>
      <c r="AU165">
        <v>0</v>
      </c>
      <c r="AV165">
        <v>0</v>
      </c>
      <c r="AW165">
        <v>0</v>
      </c>
      <c r="AX165">
        <v>0</v>
      </c>
      <c r="AY165">
        <v>0</v>
      </c>
      <c r="AZ165">
        <v>1.45</v>
      </c>
    </row>
    <row r="166" spans="1:61">
      <c r="A166" s="3" t="s">
        <v>323</v>
      </c>
      <c r="B166" s="2" t="s">
        <v>324</v>
      </c>
      <c r="C166" s="2" t="s">
        <v>318</v>
      </c>
      <c r="D166" s="2" t="s">
        <v>318</v>
      </c>
      <c r="E166" s="2" t="s">
        <v>325</v>
      </c>
      <c r="F166" s="2" t="s">
        <v>318</v>
      </c>
      <c r="G166" s="2" t="s">
        <v>326</v>
      </c>
      <c r="Q166">
        <v>0</v>
      </c>
      <c r="S166">
        <v>0</v>
      </c>
      <c r="T166">
        <v>57.32</v>
      </c>
      <c r="U166">
        <v>10.199999999999999</v>
      </c>
      <c r="V166">
        <v>4.8499999999999996</v>
      </c>
      <c r="W166">
        <v>45</v>
      </c>
      <c r="X166">
        <v>22</v>
      </c>
      <c r="Y166">
        <v>654.99</v>
      </c>
      <c r="Z166">
        <v>535.27</v>
      </c>
      <c r="AA166">
        <v>1049.23</v>
      </c>
      <c r="AB166">
        <v>0</v>
      </c>
      <c r="AC166">
        <v>0</v>
      </c>
      <c r="AE166">
        <v>0</v>
      </c>
      <c r="AF166">
        <v>0</v>
      </c>
      <c r="AG166">
        <v>0</v>
      </c>
      <c r="AH166">
        <v>0</v>
      </c>
      <c r="AI166">
        <v>53.2</v>
      </c>
      <c r="AJ166">
        <v>53.2</v>
      </c>
      <c r="AK166">
        <v>0</v>
      </c>
      <c r="AL166">
        <v>10.210000000000001</v>
      </c>
      <c r="AM166">
        <v>10.210000000000001</v>
      </c>
      <c r="AN166">
        <v>4.3</v>
      </c>
      <c r="AO166">
        <v>4.3</v>
      </c>
      <c r="AP166">
        <v>4.3</v>
      </c>
      <c r="AQ166">
        <v>4.5</v>
      </c>
      <c r="AR166">
        <v>34.5</v>
      </c>
      <c r="AS166">
        <v>34.5</v>
      </c>
      <c r="AT166">
        <v>37.5</v>
      </c>
      <c r="AU166">
        <v>40.5</v>
      </c>
      <c r="AV166">
        <v>16</v>
      </c>
      <c r="AW166">
        <v>16</v>
      </c>
      <c r="AX166">
        <v>16</v>
      </c>
      <c r="AY166">
        <v>18</v>
      </c>
      <c r="AZ166">
        <v>0</v>
      </c>
    </row>
    <row r="167" spans="1:61">
      <c r="A167" s="3" t="s">
        <v>327</v>
      </c>
      <c r="B167" s="2" t="s">
        <v>324</v>
      </c>
      <c r="C167" s="2" t="s">
        <v>319</v>
      </c>
      <c r="D167" s="2" t="s">
        <v>320</v>
      </c>
      <c r="E167" s="2" t="s">
        <v>328</v>
      </c>
      <c r="F167" s="2" t="s">
        <v>322</v>
      </c>
      <c r="G167" s="2" t="s">
        <v>326</v>
      </c>
      <c r="Q167">
        <v>24.41</v>
      </c>
      <c r="S167">
        <v>15.92</v>
      </c>
      <c r="T167">
        <v>67.31</v>
      </c>
      <c r="U167">
        <v>20.41</v>
      </c>
      <c r="V167">
        <v>4.8499999999999996</v>
      </c>
      <c r="W167">
        <v>45</v>
      </c>
      <c r="X167">
        <v>22</v>
      </c>
      <c r="Y167">
        <v>1118.51</v>
      </c>
      <c r="Z167">
        <v>1217.8800000000001</v>
      </c>
      <c r="AA167">
        <v>1765.97</v>
      </c>
      <c r="AB167">
        <v>56.86</v>
      </c>
      <c r="AC167">
        <v>40</v>
      </c>
      <c r="AE167">
        <v>47.75</v>
      </c>
      <c r="AF167">
        <v>11.75</v>
      </c>
      <c r="AG167">
        <v>15.92</v>
      </c>
      <c r="AH167">
        <v>119.31</v>
      </c>
      <c r="AI167">
        <v>61.96</v>
      </c>
      <c r="AJ167">
        <v>63.2</v>
      </c>
      <c r="AK167">
        <v>20.41</v>
      </c>
      <c r="AL167">
        <v>20.41</v>
      </c>
      <c r="AM167">
        <v>20.41</v>
      </c>
      <c r="AN167">
        <v>4.3</v>
      </c>
      <c r="AO167">
        <v>4.3</v>
      </c>
      <c r="AP167">
        <v>4.3</v>
      </c>
      <c r="AQ167">
        <v>4.5</v>
      </c>
      <c r="AR167">
        <v>34.5</v>
      </c>
      <c r="AS167">
        <v>34.5</v>
      </c>
      <c r="AT167">
        <v>37.5</v>
      </c>
      <c r="AU167">
        <v>40.5</v>
      </c>
      <c r="AV167">
        <v>16</v>
      </c>
      <c r="AW167">
        <v>16</v>
      </c>
      <c r="AX167">
        <v>16</v>
      </c>
      <c r="AY167">
        <v>18</v>
      </c>
      <c r="AZ167">
        <v>1.45</v>
      </c>
    </row>
    <row r="168" spans="1:61">
      <c r="A168" s="3" t="s">
        <v>329</v>
      </c>
      <c r="Q168">
        <v>0</v>
      </c>
      <c r="T168">
        <v>0</v>
      </c>
      <c r="U168">
        <v>0</v>
      </c>
      <c r="Y168">
        <v>0</v>
      </c>
      <c r="Z168">
        <v>0</v>
      </c>
      <c r="AA168">
        <v>0</v>
      </c>
      <c r="AB168">
        <v>0</v>
      </c>
      <c r="AC168">
        <v>0</v>
      </c>
      <c r="AH168">
        <v>0</v>
      </c>
      <c r="AI168">
        <v>0</v>
      </c>
      <c r="AJ168">
        <v>0</v>
      </c>
      <c r="AK168">
        <v>0</v>
      </c>
      <c r="AL168">
        <v>0</v>
      </c>
      <c r="AM168">
        <v>0</v>
      </c>
    </row>
    <row r="169" spans="1:61">
      <c r="A169" s="3" t="s">
        <v>330</v>
      </c>
      <c r="D169" s="2" t="s">
        <v>320</v>
      </c>
      <c r="G169" s="2" t="s">
        <v>318</v>
      </c>
      <c r="S169">
        <v>23.88</v>
      </c>
      <c r="V169">
        <v>0</v>
      </c>
      <c r="AE169">
        <v>47.75</v>
      </c>
      <c r="AF169">
        <v>17.63</v>
      </c>
      <c r="AG169">
        <v>23.88</v>
      </c>
      <c r="AQ169">
        <v>0</v>
      </c>
      <c r="AZ169">
        <v>4.34</v>
      </c>
    </row>
    <row r="170" spans="1:61">
      <c r="A170" s="3" t="s">
        <v>331</v>
      </c>
      <c r="D170" s="2" t="s">
        <v>320</v>
      </c>
      <c r="G170" s="2" t="s">
        <v>326</v>
      </c>
      <c r="S170">
        <v>23.88</v>
      </c>
      <c r="V170">
        <v>4.8499999999999996</v>
      </c>
      <c r="AE170">
        <v>47.75</v>
      </c>
      <c r="AF170">
        <v>17.63</v>
      </c>
      <c r="AG170">
        <v>23.88</v>
      </c>
      <c r="AQ170">
        <v>4.5</v>
      </c>
      <c r="AZ170">
        <v>4.34</v>
      </c>
    </row>
    <row r="171" spans="1:61">
      <c r="A171" s="3" t="s">
        <v>332</v>
      </c>
      <c r="B171" s="2" t="s">
        <v>318</v>
      </c>
      <c r="C171" s="2" t="s">
        <v>333</v>
      </c>
      <c r="D171" s="2" t="s">
        <v>334</v>
      </c>
      <c r="E171" s="2" t="s">
        <v>335</v>
      </c>
      <c r="F171" s="2" t="s">
        <v>336</v>
      </c>
      <c r="G171" s="2" t="s">
        <v>318</v>
      </c>
      <c r="I171" s="2" t="s">
        <v>337</v>
      </c>
      <c r="J171" s="2" t="s">
        <v>318</v>
      </c>
      <c r="K171" s="2" t="s">
        <v>318</v>
      </c>
      <c r="M171">
        <v>0</v>
      </c>
      <c r="N171">
        <v>0</v>
      </c>
      <c r="O171">
        <v>0</v>
      </c>
      <c r="P171">
        <v>0</v>
      </c>
      <c r="Q171">
        <v>12.21</v>
      </c>
      <c r="R171">
        <v>654.16</v>
      </c>
      <c r="S171">
        <v>7.96</v>
      </c>
      <c r="T171">
        <v>5</v>
      </c>
      <c r="U171">
        <v>5.1100000000000003</v>
      </c>
      <c r="V171">
        <v>0</v>
      </c>
      <c r="W171">
        <v>0</v>
      </c>
      <c r="X171">
        <v>0</v>
      </c>
      <c r="Y171">
        <v>231.76</v>
      </c>
      <c r="Z171">
        <v>341.31</v>
      </c>
      <c r="AA171">
        <v>358.37</v>
      </c>
      <c r="AB171">
        <v>28.43</v>
      </c>
      <c r="AC171">
        <v>20</v>
      </c>
      <c r="AD171">
        <v>608.33000000000004</v>
      </c>
      <c r="AE171">
        <v>23.88</v>
      </c>
      <c r="AF171">
        <v>5.88</v>
      </c>
      <c r="AG171">
        <v>7.96</v>
      </c>
      <c r="AH171">
        <v>59.66</v>
      </c>
      <c r="AI171">
        <v>4.38</v>
      </c>
      <c r="AJ171">
        <v>5</v>
      </c>
      <c r="AK171">
        <v>10.210000000000001</v>
      </c>
      <c r="AL171">
        <v>5.0999999999999996</v>
      </c>
      <c r="AM171">
        <v>5.0999999999999996</v>
      </c>
      <c r="AN171">
        <v>0</v>
      </c>
      <c r="AO171">
        <v>0</v>
      </c>
      <c r="AP171">
        <v>0</v>
      </c>
      <c r="AQ171">
        <v>0</v>
      </c>
      <c r="AR171">
        <v>0</v>
      </c>
      <c r="AS171">
        <v>0</v>
      </c>
      <c r="AT171">
        <v>0</v>
      </c>
      <c r="AU171">
        <v>0</v>
      </c>
      <c r="AV171">
        <v>0</v>
      </c>
      <c r="AW171">
        <v>0</v>
      </c>
      <c r="AX171">
        <v>0</v>
      </c>
      <c r="AY171">
        <v>0</v>
      </c>
      <c r="AZ171">
        <v>0.73</v>
      </c>
      <c r="BD171">
        <v>0</v>
      </c>
      <c r="BE171">
        <v>0</v>
      </c>
      <c r="BF171">
        <v>0</v>
      </c>
      <c r="BG171">
        <v>0</v>
      </c>
      <c r="BH171">
        <v>37.5</v>
      </c>
      <c r="BI171">
        <v>37.5</v>
      </c>
    </row>
    <row r="172" spans="1:61">
      <c r="A172" s="3" t="s">
        <v>338</v>
      </c>
      <c r="B172" s="2" t="s">
        <v>339</v>
      </c>
      <c r="C172" s="2" t="s">
        <v>318</v>
      </c>
      <c r="D172" s="2" t="s">
        <v>318</v>
      </c>
      <c r="E172" s="2" t="s">
        <v>340</v>
      </c>
      <c r="F172" s="2" t="s">
        <v>318</v>
      </c>
      <c r="G172" s="2" t="s">
        <v>341</v>
      </c>
      <c r="I172" s="2" t="s">
        <v>318</v>
      </c>
      <c r="J172" s="2" t="s">
        <v>318</v>
      </c>
      <c r="K172" s="2" t="s">
        <v>318</v>
      </c>
      <c r="M172">
        <v>0</v>
      </c>
      <c r="N172">
        <v>0</v>
      </c>
      <c r="O172">
        <v>0</v>
      </c>
      <c r="P172">
        <v>0</v>
      </c>
      <c r="Q172">
        <v>0</v>
      </c>
      <c r="R172">
        <v>0</v>
      </c>
      <c r="S172">
        <v>0</v>
      </c>
      <c r="T172">
        <v>28.66</v>
      </c>
      <c r="U172">
        <v>5.0999999999999996</v>
      </c>
      <c r="V172">
        <v>2.4300000000000002</v>
      </c>
      <c r="W172">
        <v>22.5</v>
      </c>
      <c r="X172">
        <v>11</v>
      </c>
      <c r="Y172">
        <v>327.5</v>
      </c>
      <c r="Z172">
        <v>267.64</v>
      </c>
      <c r="AA172">
        <v>524.62</v>
      </c>
      <c r="AB172">
        <v>0</v>
      </c>
      <c r="AC172">
        <v>0</v>
      </c>
      <c r="AD172">
        <v>0</v>
      </c>
      <c r="AE172">
        <v>0</v>
      </c>
      <c r="AF172">
        <v>0</v>
      </c>
      <c r="AG172">
        <v>0</v>
      </c>
      <c r="AH172">
        <v>0</v>
      </c>
      <c r="AI172">
        <v>26.6</v>
      </c>
      <c r="AJ172">
        <v>26.6</v>
      </c>
      <c r="AK172">
        <v>0</v>
      </c>
      <c r="AL172">
        <v>5.1100000000000003</v>
      </c>
      <c r="AM172">
        <v>5.1100000000000003</v>
      </c>
      <c r="AN172">
        <v>2.15</v>
      </c>
      <c r="AO172">
        <v>2.15</v>
      </c>
      <c r="AP172">
        <v>2.15</v>
      </c>
      <c r="AQ172">
        <v>2.25</v>
      </c>
      <c r="AR172">
        <v>17.25</v>
      </c>
      <c r="AS172">
        <v>17.25</v>
      </c>
      <c r="AT172">
        <v>18.75</v>
      </c>
      <c r="AU172">
        <v>20.25</v>
      </c>
      <c r="AV172">
        <v>8</v>
      </c>
      <c r="AW172">
        <v>8</v>
      </c>
      <c r="AX172">
        <v>8</v>
      </c>
      <c r="AY172">
        <v>9</v>
      </c>
      <c r="AZ172">
        <v>0</v>
      </c>
      <c r="BD172">
        <v>0</v>
      </c>
      <c r="BE172">
        <v>0</v>
      </c>
      <c r="BF172">
        <v>0</v>
      </c>
      <c r="BG172">
        <v>0</v>
      </c>
      <c r="BH172">
        <v>0</v>
      </c>
      <c r="BI172">
        <v>0</v>
      </c>
    </row>
    <row r="173" spans="1:61">
      <c r="A173" s="3" t="s">
        <v>342</v>
      </c>
      <c r="B173" s="2" t="s">
        <v>343</v>
      </c>
      <c r="C173" s="2" t="s">
        <v>343</v>
      </c>
      <c r="D173" s="2" t="s">
        <v>343</v>
      </c>
      <c r="E173" s="2" t="s">
        <v>343</v>
      </c>
      <c r="F173" s="2" t="s">
        <v>343</v>
      </c>
      <c r="G173" s="2" t="s">
        <v>343</v>
      </c>
      <c r="Q173" t="s">
        <v>344</v>
      </c>
      <c r="S173" t="s">
        <v>345</v>
      </c>
      <c r="T173" t="s">
        <v>344</v>
      </c>
      <c r="U173" t="s">
        <v>344</v>
      </c>
      <c r="V173" t="s">
        <v>343</v>
      </c>
      <c r="W173" t="s">
        <v>343</v>
      </c>
      <c r="X173" t="s">
        <v>343</v>
      </c>
      <c r="Y173" t="s">
        <v>344</v>
      </c>
      <c r="Z173" t="s">
        <v>344</v>
      </c>
      <c r="AA173" t="s">
        <v>344</v>
      </c>
      <c r="AB173" t="s">
        <v>344</v>
      </c>
      <c r="AC173" t="s">
        <v>344</v>
      </c>
      <c r="AE173" t="s">
        <v>345</v>
      </c>
      <c r="AF173" t="s">
        <v>345</v>
      </c>
      <c r="AG173" t="s">
        <v>345</v>
      </c>
      <c r="AH173" t="s">
        <v>344</v>
      </c>
      <c r="AI173" t="s">
        <v>344</v>
      </c>
      <c r="AJ173" t="s">
        <v>344</v>
      </c>
      <c r="AK173" t="s">
        <v>344</v>
      </c>
      <c r="AL173" t="s">
        <v>344</v>
      </c>
      <c r="AM173" t="s">
        <v>344</v>
      </c>
      <c r="AN173" t="s">
        <v>343</v>
      </c>
      <c r="AO173" t="s">
        <v>343</v>
      </c>
      <c r="AP173" t="s">
        <v>343</v>
      </c>
      <c r="AQ173" t="s">
        <v>343</v>
      </c>
      <c r="AR173" t="s">
        <v>343</v>
      </c>
      <c r="AS173" t="s">
        <v>343</v>
      </c>
      <c r="AT173" t="s">
        <v>343</v>
      </c>
      <c r="AU173" t="s">
        <v>343</v>
      </c>
      <c r="AV173" t="s">
        <v>343</v>
      </c>
      <c r="AW173" t="s">
        <v>343</v>
      </c>
      <c r="AX173" t="s">
        <v>343</v>
      </c>
      <c r="AY173" t="s">
        <v>343</v>
      </c>
      <c r="AZ173" t="s">
        <v>344</v>
      </c>
    </row>
    <row r="174" spans="1:61">
      <c r="A174" s="3" t="s">
        <v>346</v>
      </c>
      <c r="D174" s="2" t="s">
        <v>347</v>
      </c>
      <c r="G174" s="2" t="s">
        <v>348</v>
      </c>
      <c r="S174">
        <v>10000</v>
      </c>
      <c r="V174">
        <v>50000</v>
      </c>
      <c r="W174">
        <v>1500</v>
      </c>
      <c r="X174">
        <v>6000</v>
      </c>
      <c r="AE174">
        <v>10000</v>
      </c>
      <c r="AF174">
        <v>10000</v>
      </c>
      <c r="AG174">
        <v>10000</v>
      </c>
      <c r="AN174">
        <v>50000</v>
      </c>
      <c r="AO174">
        <v>50000</v>
      </c>
      <c r="AP174">
        <v>50000</v>
      </c>
      <c r="AQ174">
        <v>50000</v>
      </c>
      <c r="AR174">
        <v>1500</v>
      </c>
      <c r="AS174">
        <v>1500</v>
      </c>
      <c r="AT174">
        <v>1500</v>
      </c>
      <c r="AU174">
        <v>1500</v>
      </c>
      <c r="AV174">
        <v>6000</v>
      </c>
      <c r="AW174">
        <v>6000</v>
      </c>
      <c r="AX174">
        <v>6000</v>
      </c>
      <c r="AY174">
        <v>6000</v>
      </c>
      <c r="AZ174">
        <v>10000</v>
      </c>
    </row>
    <row r="175" spans="1:61">
      <c r="A175" s="3" t="s">
        <v>349</v>
      </c>
      <c r="B175" s="2" t="s">
        <v>350</v>
      </c>
      <c r="C175" s="2" t="s">
        <v>351</v>
      </c>
      <c r="D175" s="2" t="s">
        <v>352</v>
      </c>
      <c r="E175" s="2" t="s">
        <v>353</v>
      </c>
      <c r="F175" s="2" t="s">
        <v>354</v>
      </c>
      <c r="G175" s="2" t="s">
        <v>355</v>
      </c>
      <c r="H175" s="2" t="s">
        <v>356</v>
      </c>
      <c r="I175" s="2" t="s">
        <v>357</v>
      </c>
      <c r="L175" t="s">
        <v>358</v>
      </c>
      <c r="Q175" t="s">
        <v>359</v>
      </c>
      <c r="R175" t="s">
        <v>360</v>
      </c>
      <c r="S175" t="s">
        <v>361</v>
      </c>
      <c r="T175" t="s">
        <v>362</v>
      </c>
      <c r="U175" t="s">
        <v>363</v>
      </c>
      <c r="V175" t="s">
        <v>364</v>
      </c>
      <c r="W175" t="s">
        <v>365</v>
      </c>
      <c r="X175" t="s">
        <v>366</v>
      </c>
      <c r="Y175" t="s">
        <v>367</v>
      </c>
      <c r="Z175" t="s">
        <v>368</v>
      </c>
      <c r="AA175" t="s">
        <v>369</v>
      </c>
      <c r="AB175" t="s">
        <v>370</v>
      </c>
      <c r="AC175" t="s">
        <v>371</v>
      </c>
      <c r="AD175" t="s">
        <v>372</v>
      </c>
      <c r="AE175" t="s">
        <v>373</v>
      </c>
      <c r="AF175" t="s">
        <v>374</v>
      </c>
      <c r="AG175" t="s">
        <v>374</v>
      </c>
      <c r="AH175" t="s">
        <v>375</v>
      </c>
      <c r="AI175" t="s">
        <v>376</v>
      </c>
      <c r="AJ175" t="s">
        <v>377</v>
      </c>
      <c r="AK175" t="s">
        <v>378</v>
      </c>
      <c r="AL175" t="s">
        <v>379</v>
      </c>
      <c r="AM175" t="s">
        <v>380</v>
      </c>
      <c r="AN175" t="s">
        <v>381</v>
      </c>
      <c r="AO175" t="s">
        <v>382</v>
      </c>
      <c r="AP175" t="s">
        <v>383</v>
      </c>
      <c r="AQ175" t="s">
        <v>384</v>
      </c>
      <c r="AR175" t="s">
        <v>385</v>
      </c>
      <c r="AS175" t="s">
        <v>386</v>
      </c>
      <c r="AT175" t="s">
        <v>387</v>
      </c>
      <c r="AU175" t="s">
        <v>388</v>
      </c>
      <c r="AV175" t="s">
        <v>389</v>
      </c>
      <c r="AW175" t="s">
        <v>390</v>
      </c>
      <c r="AX175" t="s">
        <v>391</v>
      </c>
      <c r="AY175" t="s">
        <v>392</v>
      </c>
      <c r="AZ175" t="s">
        <v>393</v>
      </c>
      <c r="BA175" t="s">
        <v>394</v>
      </c>
      <c r="BB175" t="s">
        <v>395</v>
      </c>
      <c r="BC175" t="s">
        <v>396</v>
      </c>
      <c r="BH175" t="s">
        <v>397</v>
      </c>
      <c r="BI175" t="s">
        <v>397</v>
      </c>
    </row>
    <row r="176" spans="1:61">
      <c r="A176" s="3" t="s">
        <v>398</v>
      </c>
      <c r="B176" s="2" t="s">
        <v>94</v>
      </c>
      <c r="C176" s="2" t="s">
        <v>210</v>
      </c>
      <c r="D176" s="2" t="s">
        <v>210</v>
      </c>
      <c r="E176" s="2" t="s">
        <v>210</v>
      </c>
      <c r="F176" s="2" t="s">
        <v>210</v>
      </c>
      <c r="G176" s="2" t="s">
        <v>210</v>
      </c>
      <c r="H176" s="2" t="s">
        <v>66</v>
      </c>
      <c r="I176" s="2" t="s">
        <v>210</v>
      </c>
      <c r="J176" s="2" t="s">
        <v>66</v>
      </c>
      <c r="K176" s="2" t="s">
        <v>66</v>
      </c>
      <c r="L176" s="6">
        <v>45098</v>
      </c>
      <c r="M176" s="6">
        <v>45098</v>
      </c>
      <c r="N176" s="6">
        <v>45098</v>
      </c>
      <c r="O176" s="6">
        <v>45098</v>
      </c>
      <c r="P176" s="6">
        <v>45098</v>
      </c>
      <c r="Q176" s="6">
        <v>45474</v>
      </c>
      <c r="R176" s="6">
        <v>45474</v>
      </c>
      <c r="S176" s="6">
        <v>45474</v>
      </c>
      <c r="T176" s="6">
        <v>45474</v>
      </c>
      <c r="U176" s="6">
        <v>45474</v>
      </c>
      <c r="V176" s="6">
        <v>45474</v>
      </c>
      <c r="W176" s="6">
        <v>45474</v>
      </c>
      <c r="X176" s="6">
        <v>45474</v>
      </c>
      <c r="Y176" s="6">
        <v>43983</v>
      </c>
      <c r="Z176" s="6">
        <v>44378</v>
      </c>
      <c r="AA176" s="6">
        <v>44743</v>
      </c>
      <c r="AB176" s="6">
        <v>44378</v>
      </c>
      <c r="AC176" s="6">
        <v>44743</v>
      </c>
      <c r="AD176" s="6">
        <v>44743</v>
      </c>
      <c r="AE176" s="6">
        <v>43282</v>
      </c>
      <c r="AF176" s="6">
        <v>44743</v>
      </c>
      <c r="AG176" s="6">
        <v>44866</v>
      </c>
      <c r="AH176" s="6">
        <v>43983</v>
      </c>
      <c r="AI176" s="6">
        <v>44378</v>
      </c>
      <c r="AJ176" s="6">
        <v>44743</v>
      </c>
      <c r="AK176" s="6">
        <v>44348</v>
      </c>
      <c r="AL176" s="6">
        <v>44378</v>
      </c>
      <c r="AM176" s="6">
        <v>44743</v>
      </c>
      <c r="AN176" s="6">
        <v>43983</v>
      </c>
      <c r="AO176" s="6">
        <v>44378</v>
      </c>
      <c r="AP176" s="6">
        <v>44743</v>
      </c>
      <c r="AQ176" s="6">
        <v>45108</v>
      </c>
      <c r="AR176" s="6">
        <v>44013</v>
      </c>
      <c r="AS176" s="6">
        <v>44378</v>
      </c>
      <c r="AT176" s="6">
        <v>44743</v>
      </c>
      <c r="AU176" s="6">
        <v>45108</v>
      </c>
      <c r="AV176" s="6">
        <v>44013</v>
      </c>
      <c r="AW176" s="6">
        <v>44378</v>
      </c>
      <c r="AX176" s="6">
        <v>44743</v>
      </c>
      <c r="AY176" s="6">
        <v>45108</v>
      </c>
      <c r="AZ176" s="6">
        <v>43983</v>
      </c>
      <c r="BA176" s="6">
        <v>44361</v>
      </c>
      <c r="BB176" s="6">
        <v>44721</v>
      </c>
      <c r="BC176" s="6">
        <v>44721</v>
      </c>
      <c r="BD176" s="6">
        <v>44721</v>
      </c>
      <c r="BE176" s="6">
        <v>44721</v>
      </c>
      <c r="BF176" s="6">
        <v>44721</v>
      </c>
      <c r="BG176" s="6">
        <v>44721</v>
      </c>
      <c r="BH176" s="6">
        <v>45108</v>
      </c>
      <c r="BI176" s="6">
        <v>45108</v>
      </c>
    </row>
    <row r="177" spans="1:61">
      <c r="A177" s="3" t="s">
        <v>399</v>
      </c>
      <c r="B177" s="2" t="s">
        <v>94</v>
      </c>
      <c r="C177" s="2" t="s">
        <v>94</v>
      </c>
      <c r="D177" s="2" t="s">
        <v>94</v>
      </c>
      <c r="E177" s="2" t="s">
        <v>94</v>
      </c>
      <c r="F177" s="2" t="s">
        <v>94</v>
      </c>
      <c r="G177" s="2" t="s">
        <v>94</v>
      </c>
      <c r="I177" s="2" t="s">
        <v>94</v>
      </c>
      <c r="J177" s="2" t="s">
        <v>216</v>
      </c>
      <c r="K177" s="2" t="s">
        <v>216</v>
      </c>
      <c r="M177" s="6">
        <v>45097</v>
      </c>
      <c r="N177" s="6">
        <v>45097</v>
      </c>
      <c r="O177" s="6">
        <v>45097</v>
      </c>
      <c r="P177" s="6">
        <v>45097</v>
      </c>
      <c r="Y177" s="6">
        <v>44377</v>
      </c>
      <c r="Z177" s="6">
        <v>44742</v>
      </c>
      <c r="AA177" s="6">
        <v>45107</v>
      </c>
      <c r="AB177" s="6">
        <v>44742</v>
      </c>
      <c r="AC177" s="6">
        <v>45107</v>
      </c>
      <c r="AD177" s="6">
        <v>45107</v>
      </c>
      <c r="AE177" s="6">
        <v>44742</v>
      </c>
      <c r="AF177" s="6">
        <v>44865</v>
      </c>
      <c r="AG177" s="6">
        <v>45107</v>
      </c>
      <c r="AH177" s="6">
        <v>44377</v>
      </c>
      <c r="AI177" s="6">
        <v>44742</v>
      </c>
      <c r="AJ177" s="6">
        <v>45107</v>
      </c>
      <c r="AK177" s="6">
        <v>44377</v>
      </c>
      <c r="AL177" s="6">
        <v>44742</v>
      </c>
      <c r="AM177" s="6">
        <v>45107</v>
      </c>
      <c r="AN177" s="6">
        <v>44377</v>
      </c>
      <c r="AO177" s="6">
        <v>44742</v>
      </c>
      <c r="AP177" s="6">
        <v>45107</v>
      </c>
      <c r="AQ177" s="6">
        <v>45107</v>
      </c>
      <c r="AR177" s="6">
        <v>44377</v>
      </c>
      <c r="AS177" s="6">
        <v>44742</v>
      </c>
      <c r="AT177" s="6">
        <v>45107</v>
      </c>
      <c r="AU177" s="6">
        <v>45107</v>
      </c>
      <c r="AV177" s="6">
        <v>44377</v>
      </c>
      <c r="AW177" s="6">
        <v>44742</v>
      </c>
      <c r="AX177" s="6">
        <v>45107</v>
      </c>
      <c r="AY177" s="6">
        <v>45107</v>
      </c>
      <c r="AZ177" s="6">
        <v>44377</v>
      </c>
      <c r="BD177" s="6">
        <v>44720</v>
      </c>
      <c r="BE177" s="6">
        <v>44720</v>
      </c>
      <c r="BF177" s="6">
        <v>44720</v>
      </c>
      <c r="BG177" s="6">
        <v>44720</v>
      </c>
      <c r="BH177" s="6">
        <v>45291</v>
      </c>
      <c r="BI177" s="6">
        <v>45291</v>
      </c>
    </row>
    <row r="178" spans="1:61">
      <c r="A178" s="3" t="s">
        <v>234</v>
      </c>
      <c r="B178" s="2" t="s">
        <v>400</v>
      </c>
      <c r="C178" s="2" t="s">
        <v>400</v>
      </c>
      <c r="D178" s="2" t="s">
        <v>400</v>
      </c>
      <c r="E178" s="2" t="s">
        <v>400</v>
      </c>
      <c r="F178" s="2" t="s">
        <v>400</v>
      </c>
      <c r="G178" s="2" t="s">
        <v>400</v>
      </c>
      <c r="I178" s="2" t="s">
        <v>400</v>
      </c>
      <c r="J178" s="2" t="s">
        <v>401</v>
      </c>
      <c r="K178" s="2" t="s">
        <v>402</v>
      </c>
      <c r="M178" t="s">
        <v>403</v>
      </c>
      <c r="N178" t="s">
        <v>403</v>
      </c>
      <c r="O178" t="s">
        <v>403</v>
      </c>
      <c r="P178" t="s">
        <v>403</v>
      </c>
      <c r="Y178" t="s">
        <v>404</v>
      </c>
      <c r="Z178" t="s">
        <v>405</v>
      </c>
      <c r="AA178" t="s">
        <v>406</v>
      </c>
      <c r="AB178" t="s">
        <v>405</v>
      </c>
      <c r="AC178" t="s">
        <v>406</v>
      </c>
      <c r="AD178" t="s">
        <v>406</v>
      </c>
      <c r="AE178" t="s">
        <v>405</v>
      </c>
      <c r="AF178" t="s">
        <v>407</v>
      </c>
      <c r="AG178" t="s">
        <v>406</v>
      </c>
      <c r="AH178" t="s">
        <v>404</v>
      </c>
      <c r="AI178" t="s">
        <v>405</v>
      </c>
      <c r="AJ178" t="s">
        <v>406</v>
      </c>
      <c r="AK178" t="s">
        <v>404</v>
      </c>
      <c r="AL178" t="s">
        <v>405</v>
      </c>
      <c r="AM178" t="s">
        <v>406</v>
      </c>
      <c r="AN178" t="s">
        <v>404</v>
      </c>
      <c r="AO178" t="s">
        <v>405</v>
      </c>
      <c r="AP178" t="s">
        <v>406</v>
      </c>
      <c r="AQ178" t="s">
        <v>406</v>
      </c>
      <c r="AR178" t="s">
        <v>404</v>
      </c>
      <c r="AS178" t="s">
        <v>405</v>
      </c>
      <c r="AT178" t="s">
        <v>408</v>
      </c>
      <c r="AU178" t="s">
        <v>406</v>
      </c>
      <c r="AV178" t="s">
        <v>404</v>
      </c>
      <c r="AW178" t="s">
        <v>405</v>
      </c>
      <c r="AX178" t="s">
        <v>409</v>
      </c>
      <c r="AY178" t="s">
        <v>406</v>
      </c>
      <c r="AZ178" t="s">
        <v>404</v>
      </c>
      <c r="BD178" t="s">
        <v>410</v>
      </c>
      <c r="BE178" t="s">
        <v>411</v>
      </c>
      <c r="BF178" t="s">
        <v>412</v>
      </c>
      <c r="BG178" t="s">
        <v>412</v>
      </c>
      <c r="BH178" t="s">
        <v>413</v>
      </c>
      <c r="BI178" t="s">
        <v>414</v>
      </c>
    </row>
    <row r="179" spans="1:61">
      <c r="A179" s="3" t="s">
        <v>415</v>
      </c>
      <c r="D179" s="2" t="s">
        <v>66</v>
      </c>
      <c r="I179" s="2" t="s">
        <v>416</v>
      </c>
      <c r="S179" s="6">
        <v>44721</v>
      </c>
      <c r="W179" s="6">
        <v>45098</v>
      </c>
      <c r="X179" s="6">
        <v>45098</v>
      </c>
      <c r="AE179" s="6">
        <v>43282</v>
      </c>
      <c r="AF179" s="6">
        <v>44721</v>
      </c>
      <c r="AG179" s="6">
        <v>44721</v>
      </c>
      <c r="AS179" s="6">
        <v>44361</v>
      </c>
      <c r="AT179" s="6">
        <v>44721</v>
      </c>
      <c r="AW179" s="6">
        <v>44361</v>
      </c>
      <c r="AX179" s="6">
        <v>44721</v>
      </c>
      <c r="AZ179" s="6">
        <v>43983</v>
      </c>
    </row>
    <row r="180" spans="1:61">
      <c r="A180" s="3" t="s">
        <v>417</v>
      </c>
      <c r="B180" s="2" t="s">
        <v>418</v>
      </c>
      <c r="C180" s="2" t="s">
        <v>419</v>
      </c>
      <c r="D180" s="2" t="s">
        <v>420</v>
      </c>
      <c r="E180" s="2" t="s">
        <v>419</v>
      </c>
      <c r="F180" s="2" t="s">
        <v>419</v>
      </c>
      <c r="G180" s="2" t="s">
        <v>419</v>
      </c>
      <c r="H180" s="2" t="s">
        <v>419</v>
      </c>
      <c r="I180" s="2" t="s">
        <v>419</v>
      </c>
      <c r="J180" s="2" t="s">
        <v>419</v>
      </c>
      <c r="K180" s="2" t="s">
        <v>419</v>
      </c>
      <c r="L180" t="s">
        <v>419</v>
      </c>
      <c r="M180" t="s">
        <v>419</v>
      </c>
      <c r="N180" t="s">
        <v>419</v>
      </c>
      <c r="O180" t="s">
        <v>419</v>
      </c>
      <c r="P180" t="s">
        <v>419</v>
      </c>
      <c r="Q180" t="s">
        <v>421</v>
      </c>
      <c r="R180" t="s">
        <v>419</v>
      </c>
      <c r="S180" t="s">
        <v>421</v>
      </c>
      <c r="T180" t="s">
        <v>421</v>
      </c>
      <c r="U180" t="s">
        <v>421</v>
      </c>
      <c r="V180" t="s">
        <v>421</v>
      </c>
      <c r="W180" t="s">
        <v>421</v>
      </c>
      <c r="X180" t="s">
        <v>421</v>
      </c>
      <c r="Y180" t="s">
        <v>421</v>
      </c>
      <c r="Z180" t="s">
        <v>419</v>
      </c>
      <c r="AA180" t="s">
        <v>419</v>
      </c>
      <c r="AB180" t="s">
        <v>421</v>
      </c>
      <c r="AC180" t="s">
        <v>419</v>
      </c>
      <c r="AD180" t="s">
        <v>422</v>
      </c>
      <c r="AE180" t="s">
        <v>423</v>
      </c>
      <c r="AF180" t="s">
        <v>419</v>
      </c>
      <c r="AG180" t="s">
        <v>424</v>
      </c>
      <c r="AH180" t="s">
        <v>421</v>
      </c>
      <c r="AI180" t="s">
        <v>419</v>
      </c>
      <c r="AJ180" t="s">
        <v>422</v>
      </c>
      <c r="AK180" t="s">
        <v>421</v>
      </c>
      <c r="AL180" t="s">
        <v>419</v>
      </c>
      <c r="AM180" t="s">
        <v>419</v>
      </c>
      <c r="AN180" t="s">
        <v>421</v>
      </c>
      <c r="AO180" t="s">
        <v>419</v>
      </c>
      <c r="AP180" t="s">
        <v>419</v>
      </c>
      <c r="AQ180" t="s">
        <v>425</v>
      </c>
      <c r="AR180" t="s">
        <v>422</v>
      </c>
      <c r="AS180" t="s">
        <v>419</v>
      </c>
      <c r="AT180" t="s">
        <v>419</v>
      </c>
      <c r="AU180" t="s">
        <v>425</v>
      </c>
      <c r="AV180" t="s">
        <v>422</v>
      </c>
      <c r="AW180" t="s">
        <v>419</v>
      </c>
      <c r="AX180" t="s">
        <v>419</v>
      </c>
      <c r="AY180" t="s">
        <v>425</v>
      </c>
      <c r="AZ180" t="s">
        <v>423</v>
      </c>
      <c r="BA180" t="s">
        <v>419</v>
      </c>
      <c r="BB180" t="s">
        <v>419</v>
      </c>
      <c r="BC180" t="s">
        <v>419</v>
      </c>
      <c r="BD180" t="s">
        <v>419</v>
      </c>
      <c r="BE180" t="s">
        <v>419</v>
      </c>
      <c r="BF180" t="s">
        <v>419</v>
      </c>
      <c r="BG180" t="s">
        <v>419</v>
      </c>
      <c r="BH180" t="s">
        <v>419</v>
      </c>
      <c r="BI180" t="s">
        <v>419</v>
      </c>
    </row>
    <row r="181" spans="1:61">
      <c r="A181" s="3" t="s">
        <v>426</v>
      </c>
      <c r="B181" s="2" t="s">
        <v>97</v>
      </c>
      <c r="C181" s="2" t="s">
        <v>97</v>
      </c>
      <c r="D181" s="2" t="s">
        <v>97</v>
      </c>
      <c r="E181" s="2" t="s">
        <v>97</v>
      </c>
      <c r="F181" s="2" t="s">
        <v>97</v>
      </c>
      <c r="G181" s="2" t="s">
        <v>97</v>
      </c>
      <c r="I181" s="2" t="s">
        <v>97</v>
      </c>
      <c r="J181" s="2" t="s">
        <v>427</v>
      </c>
      <c r="K181" s="2" t="s">
        <v>427</v>
      </c>
      <c r="M181" t="s">
        <v>427</v>
      </c>
      <c r="N181" t="s">
        <v>427</v>
      </c>
      <c r="O181" t="s">
        <v>427</v>
      </c>
      <c r="P181" t="s">
        <v>427</v>
      </c>
      <c r="Y181" t="s">
        <v>428</v>
      </c>
      <c r="Z181" t="s">
        <v>429</v>
      </c>
      <c r="AA181" t="s">
        <v>429</v>
      </c>
      <c r="AB181" t="s">
        <v>428</v>
      </c>
      <c r="AC181" t="s">
        <v>429</v>
      </c>
      <c r="AD181" t="s">
        <v>428</v>
      </c>
      <c r="AE181" t="s">
        <v>428</v>
      </c>
      <c r="AF181" t="s">
        <v>430</v>
      </c>
      <c r="AG181" t="s">
        <v>429</v>
      </c>
      <c r="AH181" t="s">
        <v>428</v>
      </c>
      <c r="AI181" t="s">
        <v>429</v>
      </c>
      <c r="AJ181" t="s">
        <v>429</v>
      </c>
      <c r="AK181" t="s">
        <v>428</v>
      </c>
      <c r="AL181" t="s">
        <v>429</v>
      </c>
      <c r="AM181" t="s">
        <v>429</v>
      </c>
      <c r="AN181" t="s">
        <v>428</v>
      </c>
      <c r="AO181" t="s">
        <v>429</v>
      </c>
      <c r="AP181" t="s">
        <v>429</v>
      </c>
      <c r="AQ181" t="s">
        <v>428</v>
      </c>
      <c r="AR181" t="s">
        <v>428</v>
      </c>
      <c r="AS181" t="s">
        <v>429</v>
      </c>
      <c r="AT181" t="s">
        <v>425</v>
      </c>
      <c r="AU181" t="s">
        <v>428</v>
      </c>
      <c r="AV181" t="s">
        <v>428</v>
      </c>
      <c r="AW181" t="s">
        <v>429</v>
      </c>
      <c r="AX181" t="s">
        <v>425</v>
      </c>
      <c r="AY181" t="s">
        <v>428</v>
      </c>
      <c r="AZ181" t="s">
        <v>431</v>
      </c>
      <c r="BD181" t="s">
        <v>427</v>
      </c>
      <c r="BE181" t="s">
        <v>427</v>
      </c>
      <c r="BF181" t="s">
        <v>427</v>
      </c>
      <c r="BG181" t="s">
        <v>427</v>
      </c>
      <c r="BH181" t="s">
        <v>419</v>
      </c>
      <c r="BI181" t="s">
        <v>419</v>
      </c>
    </row>
    <row r="182" spans="1:61">
      <c r="A182" s="3" t="s">
        <v>432</v>
      </c>
    </row>
    <row r="183" spans="1:61">
      <c r="A183" s="3" t="s">
        <v>433</v>
      </c>
      <c r="H183" s="2" t="s">
        <v>434</v>
      </c>
      <c r="J183" s="2" t="s">
        <v>434</v>
      </c>
      <c r="K183" s="2" t="s">
        <v>435</v>
      </c>
      <c r="L183" t="s">
        <v>435</v>
      </c>
      <c r="M183" t="s">
        <v>435</v>
      </c>
      <c r="N183" t="s">
        <v>434</v>
      </c>
      <c r="O183" t="s">
        <v>434</v>
      </c>
      <c r="P183" t="s">
        <v>434</v>
      </c>
      <c r="BA183" t="s">
        <v>434</v>
      </c>
      <c r="BB183" t="s">
        <v>436</v>
      </c>
      <c r="BC183" t="s">
        <v>435</v>
      </c>
      <c r="BD183" t="s">
        <v>435</v>
      </c>
      <c r="BE183" t="s">
        <v>434</v>
      </c>
      <c r="BF183" t="s">
        <v>434</v>
      </c>
      <c r="BG183" t="s">
        <v>434</v>
      </c>
    </row>
    <row r="184" spans="1:61">
      <c r="A184" s="3" t="s">
        <v>437</v>
      </c>
      <c r="B184" s="2" t="s">
        <v>324</v>
      </c>
      <c r="C184" s="2" t="s">
        <v>318</v>
      </c>
      <c r="E184" s="2" t="s">
        <v>325</v>
      </c>
      <c r="F184" s="2" t="s">
        <v>318</v>
      </c>
      <c r="Q184">
        <v>0</v>
      </c>
      <c r="T184">
        <v>57.32</v>
      </c>
      <c r="U184">
        <v>10.199999999999999</v>
      </c>
      <c r="Y184">
        <v>654.99</v>
      </c>
      <c r="Z184">
        <v>535.27</v>
      </c>
      <c r="AA184">
        <v>1049.23</v>
      </c>
      <c r="AB184">
        <v>0</v>
      </c>
      <c r="AC184">
        <v>0</v>
      </c>
      <c r="AH184">
        <v>0</v>
      </c>
      <c r="AI184">
        <v>53.2</v>
      </c>
      <c r="AJ184">
        <v>53.2</v>
      </c>
      <c r="AK184">
        <v>0</v>
      </c>
      <c r="AL184">
        <v>10.210000000000001</v>
      </c>
      <c r="AM184">
        <v>10.210000000000001</v>
      </c>
    </row>
    <row r="185" spans="1:61">
      <c r="A185" s="3" t="s">
        <v>438</v>
      </c>
    </row>
    <row r="186" spans="1:61">
      <c r="A186" s="3" t="s">
        <v>439</v>
      </c>
      <c r="I186" s="2" t="s">
        <v>210</v>
      </c>
      <c r="Q186" s="6">
        <v>45108</v>
      </c>
      <c r="S186" s="6">
        <v>45108</v>
      </c>
      <c r="T186" s="6">
        <v>45108</v>
      </c>
      <c r="U186" s="6">
        <v>45108</v>
      </c>
      <c r="V186" s="6">
        <v>45108</v>
      </c>
      <c r="W186" s="6">
        <v>45108</v>
      </c>
      <c r="X186" s="6">
        <v>45108</v>
      </c>
      <c r="Y186" s="6">
        <v>43983</v>
      </c>
      <c r="AB186" s="6">
        <v>44378</v>
      </c>
      <c r="AE186" s="6">
        <v>44378</v>
      </c>
      <c r="AG186" s="6">
        <v>44743</v>
      </c>
      <c r="AH186" s="6">
        <v>43983</v>
      </c>
      <c r="AK186" s="6">
        <v>44348</v>
      </c>
      <c r="AU186" s="6">
        <v>44743</v>
      </c>
      <c r="AY186" s="6">
        <v>44743</v>
      </c>
      <c r="BI186" s="6">
        <v>45292</v>
      </c>
    </row>
    <row r="187" spans="1:61">
      <c r="A187" s="3" t="s">
        <v>440</v>
      </c>
      <c r="B187" s="2" t="s">
        <v>210</v>
      </c>
      <c r="C187" s="2" t="s">
        <v>210</v>
      </c>
      <c r="D187" s="2" t="s">
        <v>210</v>
      </c>
      <c r="E187" s="2" t="s">
        <v>210</v>
      </c>
      <c r="F187" s="2" t="s">
        <v>210</v>
      </c>
      <c r="G187" s="2" t="s">
        <v>210</v>
      </c>
      <c r="I187" s="2" t="s">
        <v>210</v>
      </c>
      <c r="Q187" s="6">
        <v>45474</v>
      </c>
      <c r="R187" s="6">
        <v>45474</v>
      </c>
      <c r="S187" s="6">
        <v>45474</v>
      </c>
      <c r="T187" s="6">
        <v>45474</v>
      </c>
      <c r="U187" s="6">
        <v>45474</v>
      </c>
      <c r="V187" s="6">
        <v>45474</v>
      </c>
      <c r="W187" s="6">
        <v>45474</v>
      </c>
      <c r="X187" s="6">
        <v>45474</v>
      </c>
      <c r="Y187" s="6">
        <v>43983</v>
      </c>
      <c r="Z187" s="6">
        <v>44378</v>
      </c>
      <c r="AA187" s="6">
        <v>44743</v>
      </c>
      <c r="AB187" s="6">
        <v>44378</v>
      </c>
      <c r="AC187" s="6">
        <v>44743</v>
      </c>
      <c r="AD187" s="6">
        <v>44743</v>
      </c>
      <c r="AE187" s="6">
        <v>43282</v>
      </c>
      <c r="AF187" s="6">
        <v>44743</v>
      </c>
      <c r="AG187" s="6">
        <v>44743</v>
      </c>
      <c r="AH187" s="6">
        <v>43983</v>
      </c>
      <c r="AI187" s="6">
        <v>44378</v>
      </c>
      <c r="AJ187" s="6">
        <v>44743</v>
      </c>
      <c r="AK187" s="6">
        <v>44348</v>
      </c>
      <c r="AL187" s="6">
        <v>44378</v>
      </c>
      <c r="AM187" s="6">
        <v>44743</v>
      </c>
      <c r="AN187" s="6">
        <v>43983</v>
      </c>
      <c r="AO187" s="6">
        <v>44378</v>
      </c>
      <c r="AP187" s="6">
        <v>44743</v>
      </c>
      <c r="AQ187" s="6">
        <v>45108</v>
      </c>
      <c r="AR187" s="6">
        <v>44013</v>
      </c>
      <c r="AS187" s="6">
        <v>44378</v>
      </c>
      <c r="AT187" s="6">
        <v>44743</v>
      </c>
      <c r="AU187" s="6">
        <v>45108</v>
      </c>
      <c r="AV187" s="6">
        <v>44013</v>
      </c>
      <c r="AW187" s="6">
        <v>44378</v>
      </c>
      <c r="AX187" s="6">
        <v>44743</v>
      </c>
      <c r="AY187" s="6">
        <v>45108</v>
      </c>
      <c r="AZ187" s="6">
        <v>43983</v>
      </c>
      <c r="BH187" s="6">
        <v>45108</v>
      </c>
      <c r="BI187" s="6">
        <v>45108</v>
      </c>
    </row>
    <row r="188" spans="1:61">
      <c r="A188" s="3" t="s">
        <v>441</v>
      </c>
    </row>
    <row r="189" spans="1:61">
      <c r="A189" s="3" t="s">
        <v>442</v>
      </c>
      <c r="B189" s="2" t="s">
        <v>443</v>
      </c>
      <c r="C189" s="2" t="s">
        <v>443</v>
      </c>
      <c r="D189" s="2" t="s">
        <v>443</v>
      </c>
      <c r="E189" s="2" t="s">
        <v>443</v>
      </c>
      <c r="F189" s="2" t="s">
        <v>443</v>
      </c>
      <c r="G189" s="2" t="s">
        <v>443</v>
      </c>
      <c r="H189" s="2" t="s">
        <v>443</v>
      </c>
      <c r="I189" s="2" t="s">
        <v>443</v>
      </c>
      <c r="J189" s="2" t="s">
        <v>443</v>
      </c>
      <c r="K189" s="2" t="s">
        <v>443</v>
      </c>
      <c r="L189" t="s">
        <v>443</v>
      </c>
      <c r="M189" t="s">
        <v>443</v>
      </c>
      <c r="N189" t="s">
        <v>443</v>
      </c>
      <c r="O189" t="s">
        <v>443</v>
      </c>
      <c r="P189" t="s">
        <v>443</v>
      </c>
      <c r="Q189" t="s">
        <v>443</v>
      </c>
      <c r="R189" t="s">
        <v>443</v>
      </c>
      <c r="S189" t="s">
        <v>443</v>
      </c>
      <c r="T189" t="s">
        <v>443</v>
      </c>
      <c r="U189" t="s">
        <v>443</v>
      </c>
      <c r="V189" t="s">
        <v>443</v>
      </c>
      <c r="W189" t="s">
        <v>443</v>
      </c>
      <c r="X189" t="s">
        <v>443</v>
      </c>
      <c r="Y189" t="s">
        <v>443</v>
      </c>
      <c r="Z189" t="s">
        <v>443</v>
      </c>
      <c r="AA189" t="s">
        <v>443</v>
      </c>
      <c r="AB189" t="s">
        <v>443</v>
      </c>
      <c r="AC189" t="s">
        <v>443</v>
      </c>
      <c r="AD189" t="s">
        <v>443</v>
      </c>
      <c r="AE189" t="s">
        <v>443</v>
      </c>
      <c r="AF189" t="s">
        <v>443</v>
      </c>
      <c r="AG189" t="s">
        <v>443</v>
      </c>
      <c r="AH189" t="s">
        <v>443</v>
      </c>
      <c r="AI189" t="s">
        <v>443</v>
      </c>
      <c r="AJ189" t="s">
        <v>443</v>
      </c>
      <c r="AK189" t="s">
        <v>443</v>
      </c>
      <c r="AL189" t="s">
        <v>443</v>
      </c>
      <c r="AM189" t="s">
        <v>443</v>
      </c>
      <c r="AN189" t="s">
        <v>443</v>
      </c>
      <c r="AO189" t="s">
        <v>443</v>
      </c>
      <c r="AP189" t="s">
        <v>443</v>
      </c>
      <c r="AQ189" t="s">
        <v>443</v>
      </c>
      <c r="AR189" t="s">
        <v>443</v>
      </c>
      <c r="AS189" t="s">
        <v>443</v>
      </c>
      <c r="AT189" t="s">
        <v>443</v>
      </c>
      <c r="AU189" t="s">
        <v>443</v>
      </c>
      <c r="AV189" t="s">
        <v>443</v>
      </c>
      <c r="AW189" t="s">
        <v>443</v>
      </c>
      <c r="AX189" t="s">
        <v>443</v>
      </c>
      <c r="AY189" t="s">
        <v>443</v>
      </c>
      <c r="AZ189" t="s">
        <v>443</v>
      </c>
      <c r="BA189" t="s">
        <v>443</v>
      </c>
      <c r="BB189" t="s">
        <v>443</v>
      </c>
      <c r="BC189" t="s">
        <v>443</v>
      </c>
      <c r="BD189" t="s">
        <v>443</v>
      </c>
      <c r="BE189" t="s">
        <v>443</v>
      </c>
      <c r="BF189" t="s">
        <v>443</v>
      </c>
      <c r="BG189" t="s">
        <v>443</v>
      </c>
      <c r="BH189" t="s">
        <v>443</v>
      </c>
      <c r="BI189" t="s">
        <v>443</v>
      </c>
    </row>
    <row r="190" spans="1:61">
      <c r="A190" s="3" t="s">
        <v>444</v>
      </c>
      <c r="B190" s="2" t="s">
        <v>34</v>
      </c>
      <c r="C190" s="2" t="s">
        <v>34</v>
      </c>
      <c r="D190" s="2" t="s">
        <v>34</v>
      </c>
      <c r="E190" s="2" t="s">
        <v>34</v>
      </c>
      <c r="F190" s="2" t="s">
        <v>34</v>
      </c>
      <c r="G190" s="2" t="s">
        <v>34</v>
      </c>
      <c r="H190" s="2" t="s">
        <v>34</v>
      </c>
      <c r="I190" s="2" t="s">
        <v>34</v>
      </c>
      <c r="J190" s="2" t="s">
        <v>34</v>
      </c>
      <c r="K190" s="2" t="s">
        <v>34</v>
      </c>
    </row>
    <row r="191" spans="1:61">
      <c r="A191" s="3" t="s">
        <v>445</v>
      </c>
      <c r="B191" s="2" t="s">
        <v>34</v>
      </c>
      <c r="C191" s="2" t="s">
        <v>34</v>
      </c>
      <c r="D191" s="2" t="s">
        <v>34</v>
      </c>
      <c r="E191" s="2" t="s">
        <v>34</v>
      </c>
      <c r="F191" s="2" t="s">
        <v>34</v>
      </c>
      <c r="G191" s="2" t="s">
        <v>34</v>
      </c>
      <c r="H191" s="2" t="s">
        <v>34</v>
      </c>
      <c r="I191" s="2" t="s">
        <v>34</v>
      </c>
      <c r="J191" s="2" t="s">
        <v>34</v>
      </c>
      <c r="K191" s="2" t="s">
        <v>34</v>
      </c>
    </row>
    <row r="192" spans="1:61">
      <c r="A192" s="3" t="s">
        <v>446</v>
      </c>
      <c r="D192" s="2" t="s">
        <v>447</v>
      </c>
      <c r="G192" s="2" t="s">
        <v>448</v>
      </c>
      <c r="S192">
        <v>9831</v>
      </c>
      <c r="V192">
        <v>9832</v>
      </c>
      <c r="W192">
        <v>3420</v>
      </c>
      <c r="X192">
        <v>5593</v>
      </c>
      <c r="AE192">
        <v>4944</v>
      </c>
      <c r="AF192">
        <v>6073</v>
      </c>
      <c r="AG192">
        <v>6073</v>
      </c>
      <c r="AN192">
        <v>2871</v>
      </c>
      <c r="AO192">
        <v>2862</v>
      </c>
      <c r="AP192">
        <v>3384</v>
      </c>
      <c r="AQ192">
        <v>7578</v>
      </c>
      <c r="AR192">
        <v>1548</v>
      </c>
      <c r="AS192">
        <v>1540</v>
      </c>
      <c r="AT192">
        <v>2134</v>
      </c>
      <c r="AU192">
        <v>2726</v>
      </c>
      <c r="AV192">
        <v>2515</v>
      </c>
      <c r="AW192">
        <v>2501</v>
      </c>
      <c r="AX192">
        <v>3129</v>
      </c>
      <c r="AY192">
        <v>4824</v>
      </c>
      <c r="AZ192">
        <v>4740</v>
      </c>
    </row>
    <row r="193" spans="1:61">
      <c r="A193" s="3" t="s">
        <v>449</v>
      </c>
      <c r="B193" s="2" t="s">
        <v>450</v>
      </c>
      <c r="C193" s="2" t="s">
        <v>451</v>
      </c>
      <c r="D193" s="2" t="s">
        <v>452</v>
      </c>
      <c r="E193" s="2" t="s">
        <v>453</v>
      </c>
      <c r="F193" s="2" t="s">
        <v>454</v>
      </c>
      <c r="G193" s="2" t="s">
        <v>455</v>
      </c>
      <c r="Q193">
        <v>655569</v>
      </c>
      <c r="S193">
        <v>68966</v>
      </c>
      <c r="T193">
        <v>655552</v>
      </c>
      <c r="U193">
        <v>655518</v>
      </c>
      <c r="V193">
        <v>68972</v>
      </c>
      <c r="W193">
        <v>19158</v>
      </c>
      <c r="X193">
        <v>20441</v>
      </c>
      <c r="Y193">
        <v>371514</v>
      </c>
      <c r="Z193">
        <v>369858</v>
      </c>
      <c r="AA193">
        <v>460886</v>
      </c>
      <c r="AB193">
        <v>386493</v>
      </c>
      <c r="AC193">
        <v>460988</v>
      </c>
      <c r="AE193">
        <v>13583</v>
      </c>
      <c r="AF193">
        <v>47655</v>
      </c>
      <c r="AG193">
        <v>47656</v>
      </c>
      <c r="AH193">
        <v>371574</v>
      </c>
      <c r="AI193">
        <v>369922</v>
      </c>
      <c r="AJ193">
        <v>460954</v>
      </c>
      <c r="AK193">
        <v>371604</v>
      </c>
      <c r="AL193">
        <v>369937</v>
      </c>
      <c r="AM193">
        <v>460971</v>
      </c>
      <c r="AN193">
        <v>2396</v>
      </c>
      <c r="AO193">
        <v>2387</v>
      </c>
      <c r="AP193">
        <v>2792</v>
      </c>
      <c r="AQ193">
        <v>57273</v>
      </c>
      <c r="AR193">
        <v>10614</v>
      </c>
      <c r="AS193">
        <v>10601</v>
      </c>
      <c r="AT193">
        <v>13141</v>
      </c>
      <c r="AU193">
        <v>15462</v>
      </c>
      <c r="AV193">
        <v>11223</v>
      </c>
      <c r="AW193">
        <v>11203</v>
      </c>
      <c r="AX193">
        <v>13527</v>
      </c>
      <c r="AY193">
        <v>17018</v>
      </c>
      <c r="AZ193">
        <v>38759</v>
      </c>
    </row>
    <row r="194" spans="1:61">
      <c r="A194" s="3" t="s">
        <v>456</v>
      </c>
    </row>
    <row r="195" spans="1:61">
      <c r="A195" s="3" t="s">
        <v>457</v>
      </c>
    </row>
    <row r="196" spans="1:61">
      <c r="A196" s="3" t="s">
        <v>458</v>
      </c>
    </row>
    <row r="197" spans="1:61">
      <c r="A197" s="3" t="s">
        <v>459</v>
      </c>
      <c r="B197" s="2" t="s">
        <v>34</v>
      </c>
      <c r="C197" s="2" t="s">
        <v>34</v>
      </c>
      <c r="D197" s="2" t="s">
        <v>34</v>
      </c>
      <c r="E197" s="2" t="s">
        <v>34</v>
      </c>
      <c r="F197" s="2" t="s">
        <v>34</v>
      </c>
      <c r="G197" s="2" t="s">
        <v>34</v>
      </c>
      <c r="H197" s="2" t="s">
        <v>34</v>
      </c>
      <c r="I197" s="2" t="s">
        <v>34</v>
      </c>
      <c r="J197" s="2" t="s">
        <v>34</v>
      </c>
      <c r="K197" s="2" t="s">
        <v>34</v>
      </c>
    </row>
    <row r="198" spans="1:61">
      <c r="A198" s="3" t="s">
        <v>460</v>
      </c>
      <c r="B198" s="2" t="s">
        <v>64</v>
      </c>
      <c r="C198" s="2" t="s">
        <v>64</v>
      </c>
      <c r="D198" s="2" t="s">
        <v>64</v>
      </c>
      <c r="E198" s="2" t="s">
        <v>64</v>
      </c>
      <c r="F198" s="2" t="s">
        <v>64</v>
      </c>
      <c r="G198" s="2" t="s">
        <v>64</v>
      </c>
      <c r="H198" s="2" t="s">
        <v>162</v>
      </c>
      <c r="I198" s="2" t="s">
        <v>64</v>
      </c>
      <c r="J198" s="2" t="s">
        <v>162</v>
      </c>
      <c r="K198" s="2" t="s">
        <v>162</v>
      </c>
      <c r="L198" t="s">
        <v>162</v>
      </c>
      <c r="M198" t="s">
        <v>162</v>
      </c>
      <c r="N198" t="s">
        <v>162</v>
      </c>
      <c r="O198" t="s">
        <v>162</v>
      </c>
      <c r="P198" t="s">
        <v>162</v>
      </c>
      <c r="Q198" t="s">
        <v>64</v>
      </c>
      <c r="R198" t="s">
        <v>64</v>
      </c>
      <c r="S198" t="s">
        <v>64</v>
      </c>
      <c r="T198" t="s">
        <v>64</v>
      </c>
      <c r="U198" t="s">
        <v>64</v>
      </c>
      <c r="V198" t="s">
        <v>64</v>
      </c>
      <c r="W198" t="s">
        <v>64</v>
      </c>
      <c r="X198" t="s">
        <v>64</v>
      </c>
      <c r="Y198" t="s">
        <v>64</v>
      </c>
      <c r="Z198" t="s">
        <v>64</v>
      </c>
      <c r="AA198" t="s">
        <v>64</v>
      </c>
      <c r="AB198" t="s">
        <v>64</v>
      </c>
      <c r="AC198" t="s">
        <v>64</v>
      </c>
      <c r="AD198" t="s">
        <v>64</v>
      </c>
      <c r="AE198" t="s">
        <v>64</v>
      </c>
      <c r="AF198" t="s">
        <v>64</v>
      </c>
      <c r="AG198" t="s">
        <v>64</v>
      </c>
      <c r="AH198" t="s">
        <v>64</v>
      </c>
      <c r="AI198" t="s">
        <v>64</v>
      </c>
      <c r="AJ198" t="s">
        <v>64</v>
      </c>
      <c r="AK198" t="s">
        <v>64</v>
      </c>
      <c r="AL198" t="s">
        <v>64</v>
      </c>
      <c r="AM198" t="s">
        <v>64</v>
      </c>
      <c r="AN198" t="s">
        <v>64</v>
      </c>
      <c r="AO198" t="s">
        <v>64</v>
      </c>
      <c r="AP198" t="s">
        <v>64</v>
      </c>
      <c r="AQ198" t="s">
        <v>64</v>
      </c>
      <c r="AR198" t="s">
        <v>64</v>
      </c>
      <c r="AS198" t="s">
        <v>64</v>
      </c>
      <c r="AT198" t="s">
        <v>64</v>
      </c>
      <c r="AU198" t="s">
        <v>64</v>
      </c>
      <c r="AV198" t="s">
        <v>64</v>
      </c>
      <c r="AW198" t="s">
        <v>64</v>
      </c>
      <c r="AX198" t="s">
        <v>64</v>
      </c>
      <c r="AY198" t="s">
        <v>64</v>
      </c>
      <c r="AZ198" t="s">
        <v>64</v>
      </c>
      <c r="BA198" t="s">
        <v>162</v>
      </c>
      <c r="BB198" t="s">
        <v>162</v>
      </c>
      <c r="BC198" t="s">
        <v>162</v>
      </c>
      <c r="BD198" t="s">
        <v>162</v>
      </c>
      <c r="BE198" t="s">
        <v>162</v>
      </c>
      <c r="BF198" t="s">
        <v>162</v>
      </c>
      <c r="BG198" t="s">
        <v>162</v>
      </c>
      <c r="BH198" t="s">
        <v>64</v>
      </c>
      <c r="BI198" t="s">
        <v>64</v>
      </c>
    </row>
    <row r="199" spans="1:61">
      <c r="A199" s="3" t="s">
        <v>461</v>
      </c>
    </row>
    <row r="200" spans="1:61">
      <c r="A200" s="3" t="s">
        <v>462</v>
      </c>
    </row>
    <row r="201" spans="1:61">
      <c r="A201" s="3" t="s">
        <v>463</v>
      </c>
    </row>
    <row r="202" spans="1:61">
      <c r="A202" s="3" t="s">
        <v>85</v>
      </c>
      <c r="B202" s="2" t="s">
        <v>66</v>
      </c>
      <c r="C202" s="2" t="s">
        <v>66</v>
      </c>
      <c r="D202" s="2" t="s">
        <v>66</v>
      </c>
      <c r="E202" s="2" t="s">
        <v>66</v>
      </c>
      <c r="F202" s="2" t="s">
        <v>66</v>
      </c>
      <c r="G202" s="2" t="s">
        <v>66</v>
      </c>
      <c r="H202" s="2" t="s">
        <v>66</v>
      </c>
      <c r="I202" s="2" t="s">
        <v>66</v>
      </c>
      <c r="J202" s="2" t="s">
        <v>66</v>
      </c>
      <c r="K202" s="2" t="s">
        <v>66</v>
      </c>
      <c r="L202" s="6">
        <v>45098</v>
      </c>
      <c r="M202" s="6">
        <v>45098</v>
      </c>
      <c r="N202" s="6">
        <v>45098</v>
      </c>
      <c r="O202" s="6">
        <v>45098</v>
      </c>
      <c r="P202" s="6">
        <v>45098</v>
      </c>
      <c r="Q202" s="6">
        <v>45098</v>
      </c>
      <c r="R202" s="6">
        <v>45456</v>
      </c>
      <c r="S202" s="6">
        <v>45098</v>
      </c>
      <c r="T202" s="6">
        <v>45098</v>
      </c>
      <c r="U202" s="6">
        <v>45098</v>
      </c>
      <c r="V202" s="6">
        <v>45098</v>
      </c>
      <c r="W202" s="6">
        <v>45098</v>
      </c>
      <c r="X202" s="6">
        <v>45098</v>
      </c>
      <c r="Y202" s="6">
        <v>44360</v>
      </c>
      <c r="Z202" s="6">
        <v>44361</v>
      </c>
      <c r="AA202" s="6">
        <v>44721</v>
      </c>
      <c r="AB202" s="6">
        <v>44440</v>
      </c>
      <c r="AC202" s="6">
        <v>44721</v>
      </c>
      <c r="AD202" s="6">
        <v>44721</v>
      </c>
      <c r="AE202" s="6">
        <v>44440</v>
      </c>
      <c r="AF202" s="6">
        <v>44721</v>
      </c>
      <c r="AG202" s="6">
        <v>44721</v>
      </c>
      <c r="AH202" s="6">
        <v>44360</v>
      </c>
      <c r="AI202" s="6">
        <v>44361</v>
      </c>
      <c r="AJ202" s="6">
        <v>44721</v>
      </c>
      <c r="AK202" s="6">
        <v>44360</v>
      </c>
      <c r="AL202" s="6">
        <v>44361</v>
      </c>
      <c r="AM202" s="6">
        <v>44721</v>
      </c>
      <c r="AN202" s="6">
        <v>44360</v>
      </c>
      <c r="AO202" s="6">
        <v>44361</v>
      </c>
      <c r="AP202" s="6">
        <v>44721</v>
      </c>
      <c r="AQ202" s="6">
        <v>45109</v>
      </c>
      <c r="AR202" s="6">
        <v>44360</v>
      </c>
      <c r="AS202" s="6">
        <v>44361</v>
      </c>
      <c r="AT202" s="6">
        <v>44721</v>
      </c>
      <c r="AU202" s="6">
        <v>44721</v>
      </c>
      <c r="AV202" s="6">
        <v>44360</v>
      </c>
      <c r="AW202" s="6">
        <v>44361</v>
      </c>
      <c r="AX202" s="6">
        <v>44721</v>
      </c>
      <c r="AY202" s="6">
        <v>44721</v>
      </c>
      <c r="AZ202" s="6">
        <v>44360</v>
      </c>
      <c r="BA202" s="6">
        <v>44361</v>
      </c>
      <c r="BB202" s="6">
        <v>44721</v>
      </c>
      <c r="BC202" s="6">
        <v>44721</v>
      </c>
      <c r="BD202" s="6">
        <v>44721</v>
      </c>
      <c r="BE202" s="6">
        <v>44721</v>
      </c>
      <c r="BF202" s="6">
        <v>44721</v>
      </c>
      <c r="BG202" s="6">
        <v>44721</v>
      </c>
      <c r="BH202" s="6">
        <v>45097</v>
      </c>
      <c r="BI202" s="6">
        <v>45097</v>
      </c>
    </row>
    <row r="203" spans="1:61">
      <c r="A203" s="3" t="s">
        <v>86</v>
      </c>
      <c r="B203" s="2" t="s">
        <v>464</v>
      </c>
      <c r="C203" s="2" t="s">
        <v>464</v>
      </c>
      <c r="D203" s="2" t="s">
        <v>464</v>
      </c>
      <c r="E203" s="2" t="s">
        <v>464</v>
      </c>
      <c r="F203" s="2" t="s">
        <v>464</v>
      </c>
      <c r="G203" s="2" t="s">
        <v>464</v>
      </c>
      <c r="H203" s="2" t="s">
        <v>464</v>
      </c>
      <c r="I203" s="2" t="s">
        <v>464</v>
      </c>
      <c r="J203" s="2" t="s">
        <v>464</v>
      </c>
      <c r="K203" s="2" t="s">
        <v>464</v>
      </c>
      <c r="L203" t="s">
        <v>465</v>
      </c>
      <c r="M203" t="s">
        <v>465</v>
      </c>
      <c r="N203" t="s">
        <v>465</v>
      </c>
      <c r="O203" t="s">
        <v>465</v>
      </c>
      <c r="P203" t="s">
        <v>465</v>
      </c>
      <c r="Q203" t="s">
        <v>465</v>
      </c>
      <c r="R203" t="s">
        <v>466</v>
      </c>
      <c r="S203" t="s">
        <v>465</v>
      </c>
      <c r="T203" t="s">
        <v>465</v>
      </c>
      <c r="U203" t="s">
        <v>465</v>
      </c>
      <c r="V203" t="s">
        <v>465</v>
      </c>
      <c r="W203" t="s">
        <v>465</v>
      </c>
      <c r="X203" t="s">
        <v>465</v>
      </c>
      <c r="Y203" t="s">
        <v>87</v>
      </c>
      <c r="Z203" t="s">
        <v>467</v>
      </c>
      <c r="AA203" t="s">
        <v>467</v>
      </c>
      <c r="AB203" t="s">
        <v>87</v>
      </c>
      <c r="AC203" t="s">
        <v>467</v>
      </c>
      <c r="AD203" t="s">
        <v>467</v>
      </c>
      <c r="AE203" t="s">
        <v>468</v>
      </c>
      <c r="AF203" t="s">
        <v>467</v>
      </c>
      <c r="AG203" t="s">
        <v>467</v>
      </c>
      <c r="AH203" t="s">
        <v>87</v>
      </c>
      <c r="AI203" t="s">
        <v>467</v>
      </c>
      <c r="AJ203" t="s">
        <v>467</v>
      </c>
      <c r="AK203" t="s">
        <v>87</v>
      </c>
      <c r="AL203" t="s">
        <v>467</v>
      </c>
      <c r="AM203" t="s">
        <v>467</v>
      </c>
      <c r="AN203" t="s">
        <v>87</v>
      </c>
      <c r="AO203" t="s">
        <v>467</v>
      </c>
      <c r="AP203" t="s">
        <v>467</v>
      </c>
      <c r="AQ203" t="s">
        <v>87</v>
      </c>
      <c r="AR203" t="s">
        <v>87</v>
      </c>
      <c r="AS203" t="s">
        <v>467</v>
      </c>
      <c r="AT203" t="s">
        <v>467</v>
      </c>
      <c r="AU203" t="s">
        <v>467</v>
      </c>
      <c r="AV203" t="s">
        <v>87</v>
      </c>
      <c r="AW203" t="s">
        <v>467</v>
      </c>
      <c r="AX203" t="s">
        <v>467</v>
      </c>
      <c r="AY203" t="s">
        <v>467</v>
      </c>
      <c r="AZ203" t="s">
        <v>87</v>
      </c>
      <c r="BA203" t="s">
        <v>467</v>
      </c>
      <c r="BB203" t="s">
        <v>467</v>
      </c>
      <c r="BC203" t="s">
        <v>467</v>
      </c>
      <c r="BD203" t="s">
        <v>467</v>
      </c>
      <c r="BE203" t="s">
        <v>467</v>
      </c>
      <c r="BF203" t="s">
        <v>467</v>
      </c>
      <c r="BG203" t="s">
        <v>467</v>
      </c>
      <c r="BH203" t="s">
        <v>466</v>
      </c>
      <c r="BI203" t="s">
        <v>466</v>
      </c>
    </row>
    <row r="204" spans="1:61">
      <c r="A204" s="3" t="s">
        <v>88</v>
      </c>
      <c r="B204" s="2" t="s">
        <v>89</v>
      </c>
      <c r="C204" s="2" t="s">
        <v>89</v>
      </c>
      <c r="D204" s="2" t="s">
        <v>89</v>
      </c>
      <c r="E204" s="2" t="s">
        <v>89</v>
      </c>
      <c r="F204" s="2" t="s">
        <v>89</v>
      </c>
      <c r="G204" s="2" t="s">
        <v>89</v>
      </c>
      <c r="H204" s="2" t="s">
        <v>66</v>
      </c>
      <c r="I204" s="2" t="s">
        <v>89</v>
      </c>
      <c r="J204" s="2" t="s">
        <v>66</v>
      </c>
      <c r="K204" s="2" t="s">
        <v>66</v>
      </c>
      <c r="L204" s="6">
        <v>45098</v>
      </c>
      <c r="M204" s="6">
        <v>45098</v>
      </c>
      <c r="N204" s="6">
        <v>45098</v>
      </c>
      <c r="O204" s="6">
        <v>45098</v>
      </c>
      <c r="P204" s="6">
        <v>45098</v>
      </c>
      <c r="Q204" s="6">
        <v>45454</v>
      </c>
      <c r="R204" s="6">
        <v>45456</v>
      </c>
      <c r="S204" s="6">
        <v>45454</v>
      </c>
      <c r="T204" s="6">
        <v>45454</v>
      </c>
      <c r="U204" s="6">
        <v>45454</v>
      </c>
      <c r="V204" s="6">
        <v>45454</v>
      </c>
      <c r="W204" s="6">
        <v>45454</v>
      </c>
      <c r="X204" s="6">
        <v>45454</v>
      </c>
      <c r="Y204" s="6">
        <v>44378</v>
      </c>
      <c r="Z204" s="6">
        <v>44743</v>
      </c>
      <c r="AA204" s="6">
        <v>45113</v>
      </c>
      <c r="AB204" s="6">
        <v>44743</v>
      </c>
      <c r="AC204" s="6">
        <v>45113</v>
      </c>
      <c r="AD204" s="6">
        <v>45113</v>
      </c>
      <c r="AE204" s="6">
        <v>44743</v>
      </c>
      <c r="AF204" s="6">
        <v>44721</v>
      </c>
      <c r="AG204" s="6">
        <v>45113</v>
      </c>
      <c r="AH204" s="6">
        <v>44378</v>
      </c>
      <c r="AI204" s="6">
        <v>44743</v>
      </c>
      <c r="AJ204" s="6">
        <v>45113</v>
      </c>
      <c r="AK204" s="6">
        <v>44378</v>
      </c>
      <c r="AL204" s="6">
        <v>44743</v>
      </c>
      <c r="AM204" s="6">
        <v>45113</v>
      </c>
      <c r="AN204" s="6">
        <v>44378</v>
      </c>
      <c r="AO204" s="6">
        <v>44743</v>
      </c>
      <c r="AP204" s="6">
        <v>45113</v>
      </c>
      <c r="AQ204" s="6">
        <v>45113</v>
      </c>
      <c r="AR204" s="6">
        <v>44378</v>
      </c>
      <c r="AS204" s="6">
        <v>44743</v>
      </c>
      <c r="AT204" s="6">
        <v>44721</v>
      </c>
      <c r="AU204" s="6">
        <v>45113</v>
      </c>
      <c r="AV204" s="6">
        <v>44378</v>
      </c>
      <c r="AW204" s="6">
        <v>44743</v>
      </c>
      <c r="AX204" s="6">
        <v>44721</v>
      </c>
      <c r="AY204" s="6">
        <v>45113</v>
      </c>
      <c r="AZ204" s="6">
        <v>44378</v>
      </c>
      <c r="BA204" s="6">
        <v>44743</v>
      </c>
      <c r="BB204" s="6">
        <v>45113</v>
      </c>
      <c r="BC204" s="6">
        <v>45113</v>
      </c>
      <c r="BD204" s="6">
        <v>45113</v>
      </c>
      <c r="BE204" s="6">
        <v>45113</v>
      </c>
      <c r="BF204" s="6">
        <v>45113</v>
      </c>
      <c r="BG204" s="6">
        <v>45113</v>
      </c>
      <c r="BH204" s="6">
        <v>45097</v>
      </c>
      <c r="BI204" s="6">
        <v>45278</v>
      </c>
    </row>
    <row r="205" spans="1:61">
      <c r="A205" s="3" t="s">
        <v>90</v>
      </c>
      <c r="B205" s="2" t="s">
        <v>91</v>
      </c>
      <c r="C205" s="2" t="s">
        <v>469</v>
      </c>
      <c r="D205" s="2" t="s">
        <v>91</v>
      </c>
      <c r="E205" s="2" t="s">
        <v>91</v>
      </c>
      <c r="F205" s="2" t="s">
        <v>91</v>
      </c>
      <c r="G205" s="2" t="s">
        <v>91</v>
      </c>
      <c r="H205" s="2" t="s">
        <v>470</v>
      </c>
      <c r="I205" s="2" t="s">
        <v>91</v>
      </c>
      <c r="J205" s="2" t="s">
        <v>470</v>
      </c>
      <c r="K205" s="2" t="s">
        <v>470</v>
      </c>
      <c r="L205" t="s">
        <v>471</v>
      </c>
      <c r="M205" t="s">
        <v>471</v>
      </c>
      <c r="N205" t="s">
        <v>471</v>
      </c>
      <c r="O205" t="s">
        <v>471</v>
      </c>
      <c r="P205" t="s">
        <v>471</v>
      </c>
      <c r="Q205" t="s">
        <v>472</v>
      </c>
      <c r="R205" t="s">
        <v>473</v>
      </c>
      <c r="S205" t="s">
        <v>472</v>
      </c>
      <c r="T205" t="s">
        <v>474</v>
      </c>
      <c r="U205" t="s">
        <v>474</v>
      </c>
      <c r="V205" t="s">
        <v>475</v>
      </c>
      <c r="W205" t="s">
        <v>476</v>
      </c>
      <c r="X205" t="s">
        <v>475</v>
      </c>
      <c r="Y205" t="s">
        <v>477</v>
      </c>
      <c r="Z205" t="s">
        <v>478</v>
      </c>
      <c r="AA205" t="s">
        <v>479</v>
      </c>
      <c r="AB205" t="s">
        <v>478</v>
      </c>
      <c r="AC205" t="s">
        <v>479</v>
      </c>
      <c r="AD205" t="s">
        <v>479</v>
      </c>
      <c r="AE205" t="s">
        <v>478</v>
      </c>
      <c r="AF205" t="s">
        <v>480</v>
      </c>
      <c r="AG205" t="s">
        <v>479</v>
      </c>
      <c r="AH205" t="s">
        <v>477</v>
      </c>
      <c r="AI205" t="s">
        <v>478</v>
      </c>
      <c r="AJ205" t="s">
        <v>479</v>
      </c>
      <c r="AK205" t="s">
        <v>477</v>
      </c>
      <c r="AL205" t="s">
        <v>478</v>
      </c>
      <c r="AM205" t="s">
        <v>479</v>
      </c>
      <c r="AN205" t="s">
        <v>477</v>
      </c>
      <c r="AO205" t="s">
        <v>478</v>
      </c>
      <c r="AP205" t="s">
        <v>479</v>
      </c>
      <c r="AQ205" t="s">
        <v>479</v>
      </c>
      <c r="AR205" t="s">
        <v>477</v>
      </c>
      <c r="AS205" t="s">
        <v>478</v>
      </c>
      <c r="AT205" t="s">
        <v>388</v>
      </c>
      <c r="AU205" t="s">
        <v>479</v>
      </c>
      <c r="AV205" t="s">
        <v>477</v>
      </c>
      <c r="AW205" t="s">
        <v>478</v>
      </c>
      <c r="AX205" t="s">
        <v>392</v>
      </c>
      <c r="AY205" t="s">
        <v>479</v>
      </c>
      <c r="AZ205" t="s">
        <v>477</v>
      </c>
      <c r="BA205" t="s">
        <v>478</v>
      </c>
      <c r="BB205" t="s">
        <v>479</v>
      </c>
      <c r="BC205" t="s">
        <v>479</v>
      </c>
      <c r="BD205" t="s">
        <v>479</v>
      </c>
      <c r="BE205" t="s">
        <v>479</v>
      </c>
      <c r="BF205" t="s">
        <v>479</v>
      </c>
      <c r="BG205" t="s">
        <v>479</v>
      </c>
      <c r="BH205" t="s">
        <v>481</v>
      </c>
      <c r="BI205" t="s">
        <v>482</v>
      </c>
    </row>
    <row r="206" spans="1:61">
      <c r="A206" s="3" t="s">
        <v>92</v>
      </c>
      <c r="B206" s="2" t="s">
        <v>87</v>
      </c>
      <c r="C206" s="2" t="s">
        <v>87</v>
      </c>
      <c r="D206" s="2" t="s">
        <v>87</v>
      </c>
      <c r="E206" s="2" t="s">
        <v>87</v>
      </c>
      <c r="F206" s="2" t="s">
        <v>87</v>
      </c>
      <c r="G206" s="2" t="s">
        <v>87</v>
      </c>
      <c r="H206" s="2" t="s">
        <v>464</v>
      </c>
      <c r="I206" s="2" t="s">
        <v>87</v>
      </c>
      <c r="J206" s="2" t="s">
        <v>464</v>
      </c>
      <c r="K206" s="2" t="s">
        <v>464</v>
      </c>
      <c r="L206" t="s">
        <v>465</v>
      </c>
      <c r="M206" t="s">
        <v>465</v>
      </c>
      <c r="N206" t="s">
        <v>465</v>
      </c>
      <c r="O206" t="s">
        <v>465</v>
      </c>
      <c r="P206" t="s">
        <v>465</v>
      </c>
      <c r="Q206" t="s">
        <v>87</v>
      </c>
      <c r="R206" t="s">
        <v>466</v>
      </c>
      <c r="S206" t="s">
        <v>87</v>
      </c>
      <c r="T206" t="s">
        <v>87</v>
      </c>
      <c r="U206" t="s">
        <v>87</v>
      </c>
      <c r="V206" t="s">
        <v>87</v>
      </c>
      <c r="W206" t="s">
        <v>87</v>
      </c>
      <c r="X206" t="s">
        <v>87</v>
      </c>
      <c r="Y206" t="s">
        <v>87</v>
      </c>
      <c r="Z206" t="s">
        <v>467</v>
      </c>
      <c r="AA206" t="s">
        <v>467</v>
      </c>
      <c r="AB206" t="s">
        <v>87</v>
      </c>
      <c r="AC206" t="s">
        <v>467</v>
      </c>
      <c r="AD206" t="s">
        <v>466</v>
      </c>
      <c r="AE206" t="s">
        <v>87</v>
      </c>
      <c r="AF206" t="s">
        <v>467</v>
      </c>
      <c r="AG206" t="s">
        <v>87</v>
      </c>
      <c r="AH206" t="s">
        <v>87</v>
      </c>
      <c r="AI206" t="s">
        <v>467</v>
      </c>
      <c r="AJ206" t="s">
        <v>466</v>
      </c>
      <c r="AK206" t="s">
        <v>87</v>
      </c>
      <c r="AL206" t="s">
        <v>467</v>
      </c>
      <c r="AM206" t="s">
        <v>467</v>
      </c>
      <c r="AN206" t="s">
        <v>87</v>
      </c>
      <c r="AO206" t="s">
        <v>467</v>
      </c>
      <c r="AP206" t="s">
        <v>467</v>
      </c>
      <c r="AQ206" t="s">
        <v>87</v>
      </c>
      <c r="AR206" t="s">
        <v>87</v>
      </c>
      <c r="AS206" t="s">
        <v>467</v>
      </c>
      <c r="AT206" t="s">
        <v>467</v>
      </c>
      <c r="AU206" t="s">
        <v>87</v>
      </c>
      <c r="AV206" t="s">
        <v>87</v>
      </c>
      <c r="AW206" t="s">
        <v>467</v>
      </c>
      <c r="AX206" t="s">
        <v>467</v>
      </c>
      <c r="AY206" t="s">
        <v>87</v>
      </c>
      <c r="AZ206" t="s">
        <v>87</v>
      </c>
      <c r="BA206" t="s">
        <v>467</v>
      </c>
      <c r="BB206" t="s">
        <v>467</v>
      </c>
      <c r="BC206" t="s">
        <v>467</v>
      </c>
      <c r="BD206" t="s">
        <v>467</v>
      </c>
      <c r="BE206" t="s">
        <v>467</v>
      </c>
      <c r="BF206" t="s">
        <v>467</v>
      </c>
      <c r="BG206" t="s">
        <v>467</v>
      </c>
      <c r="BH206" t="s">
        <v>466</v>
      </c>
      <c r="BI206" t="s">
        <v>466</v>
      </c>
    </row>
    <row r="207" spans="1:61">
      <c r="A207" s="3"/>
    </row>
    <row r="208" spans="1:61">
      <c r="A208" s="8" t="s">
        <v>483</v>
      </c>
    </row>
    <row r="209" spans="1:451">
      <c r="A209" s="3" t="s">
        <v>201</v>
      </c>
      <c r="B209" s="2">
        <v>5854581</v>
      </c>
      <c r="C209" s="2">
        <v>5854581</v>
      </c>
      <c r="D209" s="2">
        <v>5854581</v>
      </c>
      <c r="E209" s="2">
        <v>5854794</v>
      </c>
      <c r="F209" s="2">
        <v>5854581</v>
      </c>
      <c r="G209" s="2">
        <v>5854581</v>
      </c>
      <c r="H209" s="2">
        <v>5854581</v>
      </c>
      <c r="I209" s="2">
        <v>5854581</v>
      </c>
      <c r="J209" s="2">
        <v>5854581</v>
      </c>
      <c r="K209" s="2">
        <v>5854581</v>
      </c>
      <c r="L209" s="2">
        <v>5854581</v>
      </c>
      <c r="M209" s="2">
        <v>5854581</v>
      </c>
      <c r="N209" s="2">
        <v>5854581</v>
      </c>
      <c r="O209" s="2">
        <v>5854581</v>
      </c>
      <c r="P209" s="2">
        <v>5854581</v>
      </c>
      <c r="Q209" s="2">
        <v>5854581</v>
      </c>
      <c r="R209" s="2">
        <v>5854581</v>
      </c>
      <c r="S209" s="2">
        <v>5854581</v>
      </c>
      <c r="T209" s="2">
        <v>5854581</v>
      </c>
    </row>
    <row r="210" spans="1:451">
      <c r="A210" s="3" t="s">
        <v>202</v>
      </c>
      <c r="B210" s="2" t="s">
        <v>203</v>
      </c>
      <c r="C210" s="2" t="s">
        <v>203</v>
      </c>
      <c r="D210" s="2" t="s">
        <v>203</v>
      </c>
      <c r="E210" s="2" t="s">
        <v>203</v>
      </c>
      <c r="F210" s="2" t="s">
        <v>203</v>
      </c>
      <c r="G210" s="2" t="s">
        <v>203</v>
      </c>
      <c r="H210" s="2" t="s">
        <v>203</v>
      </c>
      <c r="I210" s="2" t="s">
        <v>203</v>
      </c>
      <c r="J210" s="2" t="s">
        <v>203</v>
      </c>
      <c r="K210" s="2" t="s">
        <v>203</v>
      </c>
      <c r="L210" s="2" t="s">
        <v>203</v>
      </c>
      <c r="M210" s="2" t="s">
        <v>203</v>
      </c>
      <c r="N210" s="2" t="s">
        <v>203</v>
      </c>
      <c r="O210" s="2" t="s">
        <v>203</v>
      </c>
      <c r="P210" s="2" t="s">
        <v>203</v>
      </c>
      <c r="Q210" s="2" t="s">
        <v>203</v>
      </c>
      <c r="R210" s="2" t="s">
        <v>203</v>
      </c>
      <c r="S210" s="2" t="s">
        <v>203</v>
      </c>
      <c r="T210" s="2" t="s">
        <v>203</v>
      </c>
    </row>
    <row r="211" spans="1:451">
      <c r="A211" s="3" t="s">
        <v>259</v>
      </c>
      <c r="B211" s="2">
        <v>69398</v>
      </c>
      <c r="C211" s="2">
        <v>69398</v>
      </c>
      <c r="D211" s="2">
        <v>69398</v>
      </c>
      <c r="E211" s="2">
        <v>69426</v>
      </c>
      <c r="F211" s="2">
        <v>69398</v>
      </c>
      <c r="G211" s="2">
        <v>69398</v>
      </c>
      <c r="H211" s="2">
        <v>69398</v>
      </c>
      <c r="I211" s="2">
        <v>69398</v>
      </c>
      <c r="J211" s="2">
        <v>69398</v>
      </c>
      <c r="K211" s="2">
        <v>69398</v>
      </c>
      <c r="L211" s="2">
        <v>69398</v>
      </c>
      <c r="M211" s="2">
        <v>69398</v>
      </c>
      <c r="N211" s="2">
        <v>69398</v>
      </c>
      <c r="O211" s="2">
        <v>69398</v>
      </c>
      <c r="P211" s="2">
        <v>69398</v>
      </c>
      <c r="Q211" s="2">
        <v>69398</v>
      </c>
      <c r="R211" s="2">
        <v>69398</v>
      </c>
      <c r="S211" s="2">
        <v>69398</v>
      </c>
      <c r="T211" s="2">
        <v>69398</v>
      </c>
    </row>
    <row r="212" spans="1:451">
      <c r="A212" s="13" t="s">
        <v>260</v>
      </c>
      <c r="B212" t="s">
        <v>261</v>
      </c>
      <c r="C212" t="s">
        <v>261</v>
      </c>
      <c r="D212" t="s">
        <v>261</v>
      </c>
      <c r="E212" t="s">
        <v>261</v>
      </c>
      <c r="F212" t="s">
        <v>261</v>
      </c>
      <c r="G212" t="s">
        <v>261</v>
      </c>
      <c r="H212" t="s">
        <v>261</v>
      </c>
      <c r="I212" t="s">
        <v>261</v>
      </c>
      <c r="J212" t="s">
        <v>261</v>
      </c>
      <c r="K212" t="s">
        <v>261</v>
      </c>
      <c r="L212" t="s">
        <v>261</v>
      </c>
      <c r="M212" t="s">
        <v>261</v>
      </c>
      <c r="N212" t="s">
        <v>261</v>
      </c>
      <c r="O212" t="s">
        <v>261</v>
      </c>
      <c r="P212" t="s">
        <v>261</v>
      </c>
      <c r="Q212" t="s">
        <v>261</v>
      </c>
      <c r="R212" t="s">
        <v>261</v>
      </c>
      <c r="S212" t="s">
        <v>261</v>
      </c>
      <c r="T212" t="s">
        <v>261</v>
      </c>
    </row>
    <row r="213" spans="1:451">
      <c r="A213" s="3" t="s">
        <v>484</v>
      </c>
      <c r="B213" s="2">
        <v>20169450</v>
      </c>
      <c r="C213" s="2">
        <v>20169450</v>
      </c>
      <c r="D213" s="2">
        <v>20169450</v>
      </c>
      <c r="E213" s="2">
        <v>20169450</v>
      </c>
      <c r="F213" s="2">
        <v>20169450</v>
      </c>
      <c r="G213" s="2">
        <v>20169450</v>
      </c>
      <c r="H213" s="2">
        <v>20169450</v>
      </c>
      <c r="I213" s="2">
        <v>20169450</v>
      </c>
      <c r="J213" s="2">
        <v>20169450</v>
      </c>
      <c r="K213" s="2">
        <v>20169450</v>
      </c>
      <c r="L213" s="2">
        <v>20169450</v>
      </c>
      <c r="M213" s="2">
        <v>20169450</v>
      </c>
      <c r="N213" s="2">
        <v>20169450</v>
      </c>
      <c r="O213" s="2">
        <v>20169450</v>
      </c>
      <c r="P213" s="2">
        <v>20169450</v>
      </c>
      <c r="Q213" s="2">
        <v>20169450</v>
      </c>
      <c r="R213" s="2">
        <v>20169450</v>
      </c>
      <c r="S213" s="2">
        <v>20169450</v>
      </c>
      <c r="T213" s="2">
        <v>20169450</v>
      </c>
    </row>
    <row r="214" spans="1:451">
      <c r="A214" s="3" t="s">
        <v>485</v>
      </c>
      <c r="B214" s="2" t="s">
        <v>486</v>
      </c>
      <c r="C214" s="2" t="s">
        <v>486</v>
      </c>
      <c r="D214" s="2" t="s">
        <v>486</v>
      </c>
      <c r="E214" s="2" t="s">
        <v>486</v>
      </c>
      <c r="F214" s="2" t="s">
        <v>486</v>
      </c>
      <c r="G214" s="2" t="s">
        <v>486</v>
      </c>
      <c r="H214" s="2" t="s">
        <v>486</v>
      </c>
      <c r="I214" s="2" t="s">
        <v>486</v>
      </c>
      <c r="J214" s="2" t="s">
        <v>486</v>
      </c>
      <c r="K214" s="2" t="s">
        <v>486</v>
      </c>
      <c r="L214" s="2" t="s">
        <v>486</v>
      </c>
      <c r="M214" s="2" t="s">
        <v>486</v>
      </c>
      <c r="N214" s="2" t="s">
        <v>486</v>
      </c>
      <c r="O214" s="2" t="s">
        <v>486</v>
      </c>
      <c r="P214" s="2" t="s">
        <v>486</v>
      </c>
      <c r="Q214" s="2" t="s">
        <v>486</v>
      </c>
      <c r="R214" s="2" t="s">
        <v>486</v>
      </c>
      <c r="S214" s="2" t="s">
        <v>486</v>
      </c>
      <c r="T214" s="2" t="s">
        <v>486</v>
      </c>
    </row>
    <row r="215" spans="1:451">
      <c r="A215" s="13" t="s">
        <v>487</v>
      </c>
      <c r="B215" s="2" t="s">
        <v>215</v>
      </c>
      <c r="C215" s="2" t="s">
        <v>215</v>
      </c>
      <c r="D215" s="2" t="s">
        <v>215</v>
      </c>
      <c r="E215" s="2" t="s">
        <v>215</v>
      </c>
      <c r="F215" s="2" t="s">
        <v>488</v>
      </c>
      <c r="G215" s="2" t="s">
        <v>488</v>
      </c>
      <c r="H215" s="2" t="s">
        <v>488</v>
      </c>
      <c r="I215" s="2" t="s">
        <v>488</v>
      </c>
      <c r="J215" s="2" t="s">
        <v>488</v>
      </c>
      <c r="K215" s="2" t="s">
        <v>488</v>
      </c>
      <c r="L215" s="2" t="s">
        <v>488</v>
      </c>
      <c r="M215" s="2" t="s">
        <v>488</v>
      </c>
      <c r="N215" s="2" t="s">
        <v>488</v>
      </c>
      <c r="O215" s="2" t="s">
        <v>488</v>
      </c>
      <c r="P215" s="2" t="s">
        <v>488</v>
      </c>
      <c r="Q215" s="2" t="s">
        <v>488</v>
      </c>
      <c r="R215" s="2" t="s">
        <v>488</v>
      </c>
      <c r="S215" s="2" t="s">
        <v>488</v>
      </c>
      <c r="T215" s="2" t="s">
        <v>488</v>
      </c>
      <c r="U215" s="2"/>
    </row>
    <row r="216" spans="1:451">
      <c r="A216" s="3" t="s">
        <v>489</v>
      </c>
      <c r="B216" s="2" t="s">
        <v>91</v>
      </c>
      <c r="C216" s="2" t="s">
        <v>91</v>
      </c>
      <c r="D216" s="2" t="s">
        <v>91</v>
      </c>
      <c r="E216" s="2" t="s">
        <v>91</v>
      </c>
      <c r="F216" s="2" t="s">
        <v>91</v>
      </c>
      <c r="G216" s="2" t="s">
        <v>91</v>
      </c>
      <c r="H216" s="2" t="s">
        <v>91</v>
      </c>
      <c r="I216" s="2" t="s">
        <v>91</v>
      </c>
      <c r="J216" s="2" t="s">
        <v>490</v>
      </c>
      <c r="K216" s="2" t="s">
        <v>491</v>
      </c>
      <c r="L216" s="2" t="s">
        <v>91</v>
      </c>
      <c r="M216" s="2" t="s">
        <v>91</v>
      </c>
      <c r="N216" s="2" t="s">
        <v>91</v>
      </c>
      <c r="O216" s="2" t="s">
        <v>91</v>
      </c>
      <c r="P216" s="2" t="s">
        <v>91</v>
      </c>
      <c r="Q216" s="2" t="s">
        <v>91</v>
      </c>
      <c r="R216" s="2" t="s">
        <v>91</v>
      </c>
      <c r="S216" s="2" t="s">
        <v>91</v>
      </c>
      <c r="T216" s="2" t="s">
        <v>91</v>
      </c>
    </row>
    <row r="217" spans="1:451">
      <c r="A217" s="3" t="s">
        <v>492</v>
      </c>
      <c r="B217" s="2" t="s">
        <v>34</v>
      </c>
      <c r="C217" s="2" t="s">
        <v>34</v>
      </c>
      <c r="D217" s="2" t="s">
        <v>34</v>
      </c>
      <c r="E217" s="2" t="s">
        <v>34</v>
      </c>
      <c r="L217" s="2"/>
      <c r="M217" s="2"/>
      <c r="N217" s="2"/>
      <c r="O217" s="2"/>
      <c r="P217" s="2"/>
      <c r="Q217" s="2"/>
      <c r="R217" s="2"/>
      <c r="S217" s="2"/>
      <c r="T217" s="2"/>
      <c r="EK217" s="1"/>
      <c r="EO217" s="1"/>
      <c r="FE217" s="1"/>
      <c r="FH217" s="1"/>
      <c r="KI217" s="1"/>
      <c r="LE217" s="1"/>
      <c r="OX217" s="1"/>
      <c r="PF217" s="1"/>
      <c r="PN217" s="1"/>
      <c r="PT217" s="1"/>
      <c r="PV217" s="1"/>
    </row>
    <row r="218" spans="1:451">
      <c r="A218" s="13" t="s">
        <v>493</v>
      </c>
      <c r="B218" s="2" t="s">
        <v>494</v>
      </c>
      <c r="C218" s="2" t="s">
        <v>494</v>
      </c>
      <c r="D218" s="2" t="s">
        <v>494</v>
      </c>
      <c r="E218" s="2" t="s">
        <v>494</v>
      </c>
      <c r="F218" s="2">
        <v>251999</v>
      </c>
      <c r="G218" s="2">
        <v>252000</v>
      </c>
      <c r="H218" s="2">
        <v>252001</v>
      </c>
      <c r="I218" s="2">
        <v>252002</v>
      </c>
      <c r="J218" s="2">
        <v>252003</v>
      </c>
      <c r="K218" s="2">
        <v>252004</v>
      </c>
      <c r="L218" s="2">
        <v>252005</v>
      </c>
      <c r="M218" s="2">
        <v>252006</v>
      </c>
      <c r="N218" s="2">
        <v>252007</v>
      </c>
      <c r="O218" s="2">
        <v>252008</v>
      </c>
      <c r="P218" s="2">
        <v>252009</v>
      </c>
      <c r="Q218" s="2">
        <v>252010</v>
      </c>
      <c r="R218" s="2">
        <v>252011</v>
      </c>
      <c r="S218" s="2">
        <v>252012</v>
      </c>
      <c r="T218" s="2">
        <v>252013</v>
      </c>
      <c r="AK218" s="1"/>
      <c r="AP218" s="1"/>
      <c r="BC218" s="1"/>
      <c r="BK218" s="1"/>
      <c r="BM218" s="1"/>
      <c r="BT218" s="1"/>
      <c r="CE218" s="1"/>
      <c r="CG218" s="1"/>
      <c r="CU218" s="1"/>
      <c r="EK218" s="1"/>
      <c r="EO218" s="1"/>
      <c r="EX218" s="1"/>
      <c r="FE218" s="1"/>
      <c r="FH218" s="1"/>
      <c r="GM218" s="1"/>
      <c r="HA218" s="1"/>
      <c r="HF218" s="1"/>
      <c r="HS218" s="1"/>
      <c r="IA218" s="1"/>
      <c r="II218" s="1"/>
      <c r="IQ218" s="1"/>
      <c r="IY218" s="1"/>
      <c r="JA218" s="1"/>
      <c r="JH218" s="1"/>
      <c r="JS218" s="1"/>
      <c r="JU218" s="1"/>
      <c r="KD218" s="1"/>
      <c r="KG218" s="1"/>
      <c r="KI218" s="1"/>
      <c r="KS218" s="1"/>
      <c r="LD218" s="1"/>
      <c r="LE218" s="1"/>
      <c r="LR218" s="1"/>
      <c r="LZ218" s="1"/>
      <c r="MH218" s="1"/>
      <c r="MJ218" s="1"/>
      <c r="MQ218" s="1"/>
      <c r="MX218" s="1"/>
      <c r="NK218" s="1"/>
      <c r="NS218" s="1"/>
      <c r="OD218" s="1"/>
      <c r="OU218" s="1"/>
      <c r="OW218" s="1"/>
      <c r="OX218" s="1"/>
      <c r="PE218" s="1"/>
      <c r="PF218" s="1"/>
      <c r="PM218" s="1"/>
      <c r="PN218" s="1"/>
      <c r="PT218" s="1"/>
      <c r="PV218" s="1"/>
      <c r="QC218" s="1"/>
      <c r="QI218" s="1"/>
    </row>
    <row r="219" spans="1:451">
      <c r="A219" s="3"/>
      <c r="E219"/>
      <c r="I219"/>
      <c r="J219"/>
      <c r="K219"/>
    </row>
    <row r="220" spans="1:451">
      <c r="A220" s="8" t="s">
        <v>495</v>
      </c>
    </row>
    <row r="221" spans="1:451">
      <c r="A221" s="9" t="s">
        <v>496</v>
      </c>
      <c r="F221">
        <v>215728</v>
      </c>
    </row>
    <row r="222" spans="1:451">
      <c r="A222" s="3" t="s">
        <v>497</v>
      </c>
      <c r="B222" t="s">
        <v>245</v>
      </c>
      <c r="C222" t="s">
        <v>254</v>
      </c>
      <c r="D222" t="s">
        <v>248</v>
      </c>
      <c r="E222" t="s">
        <v>249</v>
      </c>
      <c r="F222" t="s">
        <v>255</v>
      </c>
      <c r="G222" t="s">
        <v>256</v>
      </c>
      <c r="H222" t="s">
        <v>246</v>
      </c>
      <c r="I222" t="s">
        <v>247</v>
      </c>
      <c r="J222" t="s">
        <v>247</v>
      </c>
      <c r="K222" t="s">
        <v>250</v>
      </c>
    </row>
    <row r="223" spans="1:451">
      <c r="A223" s="3" t="s">
        <v>498</v>
      </c>
      <c r="B223" t="s">
        <v>499</v>
      </c>
      <c r="C223" t="s">
        <v>500</v>
      </c>
      <c r="D223" t="s">
        <v>499</v>
      </c>
      <c r="E223" t="s">
        <v>501</v>
      </c>
      <c r="F223" t="s">
        <v>501</v>
      </c>
      <c r="G223" t="s">
        <v>501</v>
      </c>
      <c r="H223" t="s">
        <v>501</v>
      </c>
      <c r="I223" t="s">
        <v>501</v>
      </c>
      <c r="J223" t="s">
        <v>501</v>
      </c>
      <c r="K223" t="s">
        <v>501</v>
      </c>
    </row>
    <row r="224" spans="1:451">
      <c r="A224" s="3" t="s">
        <v>502</v>
      </c>
      <c r="B224" t="s">
        <v>261</v>
      </c>
      <c r="C224" t="s">
        <v>313</v>
      </c>
      <c r="D224" t="s">
        <v>503</v>
      </c>
      <c r="E224" t="s">
        <v>504</v>
      </c>
      <c r="F224" t="s">
        <v>303</v>
      </c>
      <c r="G224" t="s">
        <v>307</v>
      </c>
      <c r="H224" t="s">
        <v>505</v>
      </c>
      <c r="I224" t="s">
        <v>506</v>
      </c>
      <c r="J224" t="s">
        <v>506</v>
      </c>
      <c r="K224" t="s">
        <v>299</v>
      </c>
    </row>
    <row r="225" spans="1:11">
      <c r="A225" s="3" t="s">
        <v>507</v>
      </c>
      <c r="B225" t="s">
        <v>344</v>
      </c>
      <c r="C225" t="s">
        <v>343</v>
      </c>
      <c r="D225" t="s">
        <v>508</v>
      </c>
      <c r="E225" t="s">
        <v>344</v>
      </c>
      <c r="F225" t="s">
        <v>343</v>
      </c>
      <c r="G225" t="s">
        <v>343</v>
      </c>
      <c r="H225" t="s">
        <v>344</v>
      </c>
      <c r="I225" t="s">
        <v>343</v>
      </c>
      <c r="J225" t="s">
        <v>114</v>
      </c>
      <c r="K225" t="s">
        <v>343</v>
      </c>
    </row>
    <row r="226" spans="1:11">
      <c r="A226" s="3" t="s">
        <v>509</v>
      </c>
      <c r="B226" s="6">
        <v>45108</v>
      </c>
      <c r="C226" s="6">
        <v>45108</v>
      </c>
      <c r="D226" s="6">
        <v>45108</v>
      </c>
      <c r="E226" s="6">
        <v>45108</v>
      </c>
      <c r="F226" s="6">
        <v>45108</v>
      </c>
      <c r="G226" s="6">
        <v>45108</v>
      </c>
      <c r="H226" s="6">
        <v>45108</v>
      </c>
      <c r="I226" s="6">
        <v>45108</v>
      </c>
      <c r="J226" s="6">
        <v>45108</v>
      </c>
      <c r="K226" s="6">
        <v>45108</v>
      </c>
    </row>
    <row r="227" spans="1:11">
      <c r="A227" s="3" t="s">
        <v>510</v>
      </c>
      <c r="B227" s="10">
        <v>401.38</v>
      </c>
      <c r="C227" s="10">
        <v>37.5</v>
      </c>
      <c r="D227" s="11">
        <v>5</v>
      </c>
      <c r="E227" s="10">
        <v>5.0999999999999996</v>
      </c>
      <c r="F227" s="11">
        <v>0</v>
      </c>
      <c r="G227" s="11">
        <v>0</v>
      </c>
      <c r="H227" s="11">
        <v>20</v>
      </c>
      <c r="I227" s="10">
        <v>7.96</v>
      </c>
      <c r="J227" s="10">
        <v>3.98</v>
      </c>
      <c r="K227" s="11">
        <v>0</v>
      </c>
    </row>
    <row r="228" spans="1:11">
      <c r="A228" s="3" t="s">
        <v>511</v>
      </c>
      <c r="B228"/>
      <c r="C228"/>
      <c r="D228"/>
      <c r="E228"/>
      <c r="F228" s="11">
        <v>1500</v>
      </c>
      <c r="G228" s="11">
        <v>6000</v>
      </c>
      <c r="H228"/>
      <c r="I228" s="11">
        <v>10000</v>
      </c>
      <c r="J228" s="11">
        <v>5000</v>
      </c>
      <c r="K228" s="11">
        <v>50000</v>
      </c>
    </row>
    <row r="229" spans="1:11">
      <c r="A229" s="3" t="s">
        <v>205</v>
      </c>
    </row>
    <row r="230" spans="1:11">
      <c r="A230" s="9" t="s">
        <v>512</v>
      </c>
    </row>
    <row r="231" spans="1:11">
      <c r="A231" s="3" t="s">
        <v>497</v>
      </c>
      <c r="B231" s="2" t="s">
        <v>245</v>
      </c>
      <c r="C231" s="2" t="s">
        <v>246</v>
      </c>
      <c r="D231" s="2" t="s">
        <v>247</v>
      </c>
      <c r="E231" s="2" t="s">
        <v>248</v>
      </c>
      <c r="F231" s="2" t="s">
        <v>249</v>
      </c>
      <c r="G231" s="2" t="s">
        <v>250</v>
      </c>
      <c r="H231" s="2" t="s">
        <v>206</v>
      </c>
    </row>
    <row r="232" spans="1:11">
      <c r="A232" s="3" t="s">
        <v>502</v>
      </c>
      <c r="B232" s="2" t="s">
        <v>513</v>
      </c>
      <c r="C232" s="2" t="s">
        <v>262</v>
      </c>
      <c r="D232" s="2" t="s">
        <v>263</v>
      </c>
      <c r="E232" s="2" t="s">
        <v>264</v>
      </c>
      <c r="F232" s="2" t="s">
        <v>265</v>
      </c>
      <c r="G232" s="2" t="s">
        <v>266</v>
      </c>
      <c r="H232" s="2" t="s">
        <v>267</v>
      </c>
    </row>
    <row r="233" spans="1:11">
      <c r="A233" s="3" t="s">
        <v>14</v>
      </c>
      <c r="B233" s="2" t="s">
        <v>97</v>
      </c>
      <c r="C233" s="2" t="s">
        <v>97</v>
      </c>
      <c r="D233" s="2" t="s">
        <v>97</v>
      </c>
      <c r="E233" s="2" t="s">
        <v>97</v>
      </c>
      <c r="F233" s="2" t="s">
        <v>97</v>
      </c>
      <c r="G233" s="2" t="s">
        <v>97</v>
      </c>
      <c r="H233" s="2" t="s">
        <v>97</v>
      </c>
    </row>
    <row r="234" spans="1:11">
      <c r="A234" s="3" t="s">
        <v>507</v>
      </c>
      <c r="B234" s="2" t="s">
        <v>343</v>
      </c>
      <c r="C234" s="2" t="s">
        <v>343</v>
      </c>
      <c r="D234" s="2" t="s">
        <v>343</v>
      </c>
      <c r="E234" s="2" t="s">
        <v>343</v>
      </c>
      <c r="F234" s="2" t="s">
        <v>343</v>
      </c>
      <c r="G234" s="2" t="s">
        <v>343</v>
      </c>
      <c r="H234" s="2" t="s">
        <v>34</v>
      </c>
    </row>
    <row r="235" spans="1:11">
      <c r="A235" s="3" t="s">
        <v>514</v>
      </c>
      <c r="B235" s="2" t="s">
        <v>94</v>
      </c>
      <c r="C235" s="2" t="s">
        <v>94</v>
      </c>
      <c r="D235" s="2" t="s">
        <v>94</v>
      </c>
      <c r="E235" s="2" t="s">
        <v>94</v>
      </c>
      <c r="F235" s="2" t="s">
        <v>94</v>
      </c>
      <c r="G235" s="2" t="s">
        <v>94</v>
      </c>
      <c r="H235" s="2" t="s">
        <v>94</v>
      </c>
    </row>
    <row r="236" spans="1:11">
      <c r="A236" s="3" t="s">
        <v>515</v>
      </c>
    </row>
    <row r="237" spans="1:11">
      <c r="A237" s="3" t="s">
        <v>516</v>
      </c>
      <c r="B237" s="2" t="s">
        <v>517</v>
      </c>
    </row>
    <row r="238" spans="1:11">
      <c r="A238" s="3" t="s">
        <v>518</v>
      </c>
      <c r="B238" s="2" t="s">
        <v>519</v>
      </c>
    </row>
    <row r="239" spans="1:11">
      <c r="A239" s="3" t="s">
        <v>520</v>
      </c>
    </row>
    <row r="240" spans="1:11">
      <c r="A240" s="3" t="s">
        <v>502</v>
      </c>
    </row>
    <row r="241" spans="1:4">
      <c r="A241" s="3" t="s">
        <v>209</v>
      </c>
    </row>
    <row r="242" spans="1:4">
      <c r="A242" s="3" t="s">
        <v>215</v>
      </c>
    </row>
    <row r="243" spans="1:4">
      <c r="A243" s="3" t="s">
        <v>521</v>
      </c>
    </row>
    <row r="244" spans="1:4">
      <c r="A244" s="3" t="s">
        <v>224</v>
      </c>
    </row>
    <row r="245" spans="1:4">
      <c r="A245" s="3" t="s">
        <v>522</v>
      </c>
    </row>
    <row r="246" spans="1:4">
      <c r="A246" s="3" t="s">
        <v>523</v>
      </c>
    </row>
    <row r="247" spans="1:4">
      <c r="A247" s="3" t="s">
        <v>524</v>
      </c>
    </row>
    <row r="248" spans="1:4">
      <c r="A248" s="3" t="s">
        <v>525</v>
      </c>
    </row>
    <row r="249" spans="1:4">
      <c r="A249" s="3" t="s">
        <v>526</v>
      </c>
    </row>
    <row r="250" spans="1:4">
      <c r="A250" s="3" t="s">
        <v>527</v>
      </c>
    </row>
    <row r="251" spans="1:4">
      <c r="A251" s="3" t="s">
        <v>528</v>
      </c>
    </row>
    <row r="252" spans="1:4">
      <c r="A252" s="3" t="s">
        <v>497</v>
      </c>
      <c r="B252" s="2" t="s">
        <v>251</v>
      </c>
      <c r="C252" s="2" t="s">
        <v>207</v>
      </c>
      <c r="D252" s="2" t="s">
        <v>208</v>
      </c>
    </row>
    <row r="253" spans="1:4">
      <c r="A253" s="3" t="s">
        <v>502</v>
      </c>
      <c r="B253" s="2" t="s">
        <v>34</v>
      </c>
      <c r="C253" s="2" t="s">
        <v>268</v>
      </c>
      <c r="D253" s="2" t="s">
        <v>269</v>
      </c>
    </row>
    <row r="254" spans="1:4">
      <c r="A254" s="3" t="s">
        <v>14</v>
      </c>
      <c r="B254" s="2" t="s">
        <v>434</v>
      </c>
      <c r="C254" s="2" t="s">
        <v>434</v>
      </c>
      <c r="D254" s="2" t="s">
        <v>435</v>
      </c>
    </row>
    <row r="255" spans="1:4">
      <c r="A255" s="3"/>
    </row>
    <row r="256" spans="1:4">
      <c r="A256" s="3" t="s">
        <v>529</v>
      </c>
    </row>
    <row r="257" spans="1:67">
      <c r="A257" s="3" t="s">
        <v>496</v>
      </c>
    </row>
    <row r="258" spans="1:67">
      <c r="A258" s="3" t="s">
        <v>497</v>
      </c>
    </row>
    <row r="259" spans="1:67">
      <c r="A259" s="3" t="s">
        <v>498</v>
      </c>
    </row>
    <row r="260" spans="1:67">
      <c r="A260" s="3" t="s">
        <v>502</v>
      </c>
    </row>
    <row r="261" spans="1:67">
      <c r="A261" s="3" t="s">
        <v>507</v>
      </c>
    </row>
    <row r="262" spans="1:67">
      <c r="A262" s="3" t="s">
        <v>509</v>
      </c>
    </row>
    <row r="263" spans="1:67">
      <c r="A263" s="3" t="s">
        <v>510</v>
      </c>
    </row>
    <row r="264" spans="1:67">
      <c r="A264" s="3" t="s">
        <v>511</v>
      </c>
      <c r="L264" s="6"/>
      <c r="M264" s="6"/>
      <c r="N264" s="6"/>
      <c r="O264" s="6"/>
      <c r="P264" s="6"/>
      <c r="Q264" s="6"/>
      <c r="R264" s="6"/>
      <c r="S264" s="6"/>
      <c r="T264" s="6"/>
      <c r="U264" s="6"/>
      <c r="V264" s="6"/>
      <c r="W264" s="6"/>
      <c r="X264" s="6"/>
      <c r="Y264" s="6"/>
      <c r="Z264" s="6"/>
      <c r="AA264" s="6"/>
      <c r="AB264" s="6"/>
      <c r="AC264" s="6"/>
      <c r="AD264" s="6"/>
      <c r="AE264" s="6"/>
      <c r="AF264" s="6"/>
      <c r="AG264" s="6"/>
      <c r="AH264" s="6"/>
      <c r="AI264" s="6"/>
      <c r="AJ264" s="6"/>
      <c r="AK264" s="6"/>
      <c r="AL264" s="6"/>
      <c r="AM264" s="6"/>
      <c r="AN264" s="6"/>
      <c r="AO264" s="6"/>
      <c r="AP264" s="6"/>
      <c r="AQ264" s="6"/>
      <c r="AR264" s="6"/>
      <c r="AS264" s="6"/>
      <c r="AT264" s="6"/>
      <c r="AU264" s="6"/>
      <c r="AV264" s="6"/>
      <c r="AW264" s="6"/>
      <c r="AX264" s="6"/>
      <c r="AY264" s="6"/>
      <c r="AZ264" s="6"/>
      <c r="BA264" s="6"/>
      <c r="BB264" s="6"/>
      <c r="BC264" s="6"/>
      <c r="BD264" s="6"/>
      <c r="BE264" s="6"/>
      <c r="BF264" s="6"/>
      <c r="BG264" s="6"/>
      <c r="BH264" s="6"/>
      <c r="BI264" s="6"/>
      <c r="BJ264" s="6"/>
      <c r="BK264" s="6"/>
      <c r="BL264" s="6"/>
      <c r="BM264" s="6"/>
      <c r="BN264" s="6"/>
      <c r="BO264" s="6"/>
    </row>
    <row r="265" spans="1:67">
      <c r="A265" s="3" t="s">
        <v>205</v>
      </c>
    </row>
    <row r="266" spans="1:67">
      <c r="A266" s="3" t="s">
        <v>512</v>
      </c>
      <c r="AA266" s="6"/>
      <c r="AB266" s="6"/>
      <c r="AC266" s="6"/>
      <c r="AD266" s="6"/>
      <c r="AE266" s="6"/>
      <c r="AF266" s="6"/>
      <c r="AG266" s="6"/>
      <c r="AH266" s="6"/>
      <c r="AI266" s="6"/>
      <c r="AJ266" s="6"/>
      <c r="AK266" s="6"/>
      <c r="AL266" s="6"/>
      <c r="AM266" s="6"/>
      <c r="AN266" s="6"/>
      <c r="AO266" s="6"/>
      <c r="AP266" s="6"/>
      <c r="AQ266" s="6"/>
      <c r="AR266" s="6"/>
      <c r="AS266" s="6"/>
      <c r="AT266" s="6"/>
      <c r="AU266" s="6"/>
      <c r="AV266" s="6"/>
      <c r="AW266" s="6"/>
      <c r="AX266" s="6"/>
      <c r="AY266" s="6"/>
      <c r="AZ266" s="6"/>
      <c r="BA266" s="6"/>
      <c r="BB266" s="6"/>
      <c r="BC266" s="6"/>
      <c r="BD266" s="6"/>
      <c r="BE266" s="6"/>
      <c r="BF266" s="6"/>
      <c r="BG266" s="6"/>
      <c r="BH266" s="6"/>
      <c r="BI266" s="6"/>
      <c r="BJ266" s="6"/>
      <c r="BK266" s="6"/>
      <c r="BL266" s="6"/>
      <c r="BM266" s="6"/>
      <c r="BN266" s="6"/>
      <c r="BO266" s="6"/>
    </row>
    <row r="267" spans="1:67">
      <c r="A267" s="3" t="s">
        <v>497</v>
      </c>
    </row>
    <row r="268" spans="1:67">
      <c r="A268" s="3" t="s">
        <v>502</v>
      </c>
      <c r="L268" s="6"/>
      <c r="M268" s="6"/>
      <c r="N268" s="6"/>
      <c r="O268" s="6"/>
      <c r="P268" s="6"/>
      <c r="Q268" s="6"/>
      <c r="R268" s="6"/>
      <c r="S268" s="6"/>
      <c r="T268" s="6"/>
      <c r="U268" s="6"/>
      <c r="V268" s="6"/>
      <c r="W268" s="6"/>
      <c r="X268" s="6"/>
      <c r="Y268" s="6"/>
      <c r="Z268" s="6"/>
      <c r="AA268" s="6"/>
      <c r="AB268" s="6"/>
      <c r="AC268" s="6"/>
      <c r="AD268" s="6"/>
      <c r="AE268" s="6"/>
      <c r="AF268" s="6"/>
      <c r="AG268" s="6"/>
      <c r="AH268" s="6"/>
      <c r="AI268" s="6"/>
      <c r="AJ268" s="6"/>
      <c r="AK268" s="6"/>
      <c r="AL268" s="6"/>
      <c r="AM268" s="6"/>
      <c r="AN268" s="6"/>
      <c r="AO268" s="6"/>
      <c r="AP268" s="6"/>
      <c r="AQ268" s="6"/>
      <c r="AR268" s="6"/>
      <c r="AS268" s="6"/>
      <c r="AT268" s="6"/>
      <c r="AU268" s="6"/>
      <c r="AV268" s="6"/>
      <c r="AW268" s="6"/>
      <c r="AX268" s="6"/>
      <c r="AY268" s="6"/>
      <c r="AZ268" s="6"/>
      <c r="BA268" s="6"/>
      <c r="BB268" s="6"/>
      <c r="BC268" s="6"/>
      <c r="BD268" s="6"/>
      <c r="BE268" s="6"/>
      <c r="BF268" s="6"/>
      <c r="BG268" s="6"/>
      <c r="BH268" s="6"/>
      <c r="BI268" s="6"/>
      <c r="BJ268" s="6"/>
      <c r="BK268" s="6"/>
      <c r="BL268" s="6"/>
      <c r="BM268" s="6"/>
      <c r="BN268" s="6"/>
      <c r="BO268" s="6"/>
    </row>
    <row r="269" spans="1:67">
      <c r="A269" s="3" t="s">
        <v>14</v>
      </c>
    </row>
    <row r="270" spans="1:67">
      <c r="A270" s="3" t="s">
        <v>507</v>
      </c>
    </row>
    <row r="271" spans="1:67">
      <c r="A271" s="3" t="s">
        <v>514</v>
      </c>
    </row>
    <row r="272" spans="1:67">
      <c r="A272" s="3" t="s">
        <v>515</v>
      </c>
    </row>
    <row r="273" spans="1:67">
      <c r="A273" s="3" t="s">
        <v>516</v>
      </c>
      <c r="B273" s="2" t="s">
        <v>517</v>
      </c>
    </row>
    <row r="274" spans="1:67">
      <c r="A274" s="3" t="s">
        <v>518</v>
      </c>
      <c r="B274" s="2" t="s">
        <v>530</v>
      </c>
    </row>
    <row r="275" spans="1:67">
      <c r="A275" s="3" t="s">
        <v>520</v>
      </c>
    </row>
    <row r="276" spans="1:67">
      <c r="A276" s="3" t="s">
        <v>502</v>
      </c>
      <c r="L276" s="6"/>
      <c r="M276" s="6"/>
      <c r="N276" s="6"/>
      <c r="O276" s="6"/>
      <c r="P276" s="6"/>
      <c r="Q276" s="6"/>
      <c r="R276" s="6"/>
      <c r="S276" s="6"/>
      <c r="T276" s="6"/>
      <c r="U276" s="6"/>
      <c r="V276" s="6"/>
      <c r="W276" s="6"/>
      <c r="X276" s="6"/>
      <c r="Y276" s="6"/>
      <c r="Z276" s="6"/>
      <c r="AA276" s="6"/>
      <c r="AB276" s="6"/>
      <c r="AC276" s="6"/>
      <c r="AD276" s="6"/>
      <c r="AE276" s="6"/>
      <c r="AF276" s="6"/>
      <c r="AG276" s="6"/>
      <c r="AH276" s="6"/>
      <c r="AI276" s="6"/>
      <c r="AJ276" s="6"/>
      <c r="AK276" s="6"/>
      <c r="AL276" s="6"/>
      <c r="AM276" s="6"/>
      <c r="AN276" s="6"/>
      <c r="AO276" s="6"/>
      <c r="AP276" s="6"/>
      <c r="AQ276" s="6"/>
      <c r="AR276" s="6"/>
      <c r="AS276" s="6"/>
      <c r="AT276" s="6"/>
      <c r="AU276" s="6"/>
      <c r="AV276" s="6"/>
      <c r="AW276" s="6"/>
      <c r="AX276" s="6"/>
      <c r="AY276" s="6"/>
      <c r="AZ276" s="6"/>
      <c r="BA276" s="6"/>
      <c r="BB276" s="6"/>
      <c r="BC276" s="6"/>
      <c r="BD276" s="6"/>
      <c r="BE276" s="6"/>
      <c r="BF276" s="6"/>
      <c r="BG276" s="6"/>
      <c r="BH276" s="6"/>
      <c r="BI276" s="6"/>
      <c r="BJ276" s="6"/>
      <c r="BK276" s="6"/>
      <c r="BL276" s="6"/>
      <c r="BM276" s="6"/>
      <c r="BN276" s="6"/>
      <c r="BO276" s="6"/>
    </row>
    <row r="277" spans="1:67">
      <c r="A277" s="3" t="s">
        <v>209</v>
      </c>
    </row>
    <row r="278" spans="1:67">
      <c r="A278" s="3" t="s">
        <v>215</v>
      </c>
      <c r="L278" s="6"/>
      <c r="M278" s="6"/>
      <c r="N278" s="6"/>
      <c r="O278" s="6"/>
      <c r="P278" s="6"/>
      <c r="Q278" s="6"/>
      <c r="R278" s="6"/>
      <c r="S278" s="6"/>
      <c r="T278" s="6"/>
      <c r="U278" s="6"/>
      <c r="V278" s="6"/>
      <c r="W278" s="6"/>
      <c r="X278" s="6"/>
      <c r="Y278" s="6"/>
      <c r="Z278" s="6"/>
      <c r="AA278" s="6"/>
      <c r="AB278" s="6"/>
      <c r="AC278" s="6"/>
      <c r="AD278" s="6"/>
      <c r="AE278" s="6"/>
      <c r="AF278" s="6"/>
      <c r="AG278" s="6"/>
      <c r="AH278" s="6"/>
      <c r="AI278" s="6"/>
      <c r="AJ278" s="6"/>
      <c r="AK278" s="6"/>
      <c r="AL278" s="6"/>
      <c r="AM278" s="6"/>
      <c r="AN278" s="6"/>
      <c r="AO278" s="6"/>
      <c r="AP278" s="6"/>
      <c r="AQ278" s="6"/>
      <c r="AR278" s="6"/>
      <c r="AS278" s="6"/>
      <c r="AT278" s="6"/>
      <c r="AU278" s="6"/>
      <c r="AV278" s="6"/>
      <c r="AW278" s="6"/>
      <c r="AX278" s="6"/>
      <c r="AY278" s="6"/>
      <c r="AZ278" s="6"/>
      <c r="BA278" s="6"/>
      <c r="BB278" s="6"/>
      <c r="BC278" s="6"/>
      <c r="BD278" s="6"/>
      <c r="BE278" s="6"/>
      <c r="BF278" s="6"/>
      <c r="BG278" s="6"/>
      <c r="BH278" s="6"/>
      <c r="BI278" s="6"/>
      <c r="BJ278" s="6"/>
      <c r="BK278" s="6"/>
      <c r="BL278" s="6"/>
      <c r="BM278" s="6"/>
      <c r="BN278" s="6"/>
      <c r="BO278" s="6"/>
    </row>
    <row r="279" spans="1:67">
      <c r="A279" s="3" t="s">
        <v>521</v>
      </c>
    </row>
    <row r="280" spans="1:67">
      <c r="A280" s="3" t="s">
        <v>224</v>
      </c>
    </row>
    <row r="281" spans="1:67">
      <c r="A281" s="3" t="s">
        <v>522</v>
      </c>
    </row>
    <row r="282" spans="1:67">
      <c r="A282" s="3" t="s">
        <v>523</v>
      </c>
    </row>
    <row r="283" spans="1:67">
      <c r="A283" s="3" t="s">
        <v>524</v>
      </c>
    </row>
    <row r="284" spans="1:67">
      <c r="A284" s="3" t="s">
        <v>525</v>
      </c>
    </row>
    <row r="285" spans="1:67">
      <c r="A285" s="3" t="s">
        <v>526</v>
      </c>
    </row>
    <row r="286" spans="1:67">
      <c r="A286" s="3" t="s">
        <v>527</v>
      </c>
    </row>
    <row r="287" spans="1:67">
      <c r="A287" s="3" t="s">
        <v>528</v>
      </c>
    </row>
    <row r="288" spans="1:67">
      <c r="A288" s="3" t="s">
        <v>497</v>
      </c>
    </row>
    <row r="289" spans="1:1">
      <c r="A289" s="3" t="s">
        <v>502</v>
      </c>
    </row>
    <row r="290" spans="1:1">
      <c r="A290" s="3" t="s">
        <v>14</v>
      </c>
    </row>
    <row r="291" spans="1:1">
      <c r="A291" s="3"/>
    </row>
    <row r="292" spans="1:1">
      <c r="A292" s="3" t="s">
        <v>531</v>
      </c>
    </row>
    <row r="293" spans="1:1">
      <c r="A293" s="3" t="s">
        <v>496</v>
      </c>
    </row>
    <row r="294" spans="1:1">
      <c r="A294" s="3" t="s">
        <v>497</v>
      </c>
    </row>
    <row r="295" spans="1:1">
      <c r="A295" s="3" t="s">
        <v>498</v>
      </c>
    </row>
    <row r="296" spans="1:1">
      <c r="A296" s="3" t="s">
        <v>502</v>
      </c>
    </row>
    <row r="297" spans="1:1">
      <c r="A297" s="3" t="s">
        <v>507</v>
      </c>
    </row>
    <row r="298" spans="1:1">
      <c r="A298" s="3" t="s">
        <v>509</v>
      </c>
    </row>
    <row r="299" spans="1:1">
      <c r="A299" s="3" t="s">
        <v>510</v>
      </c>
    </row>
    <row r="300" spans="1:1">
      <c r="A300" s="3" t="s">
        <v>511</v>
      </c>
    </row>
    <row r="301" spans="1:1">
      <c r="A301" s="3" t="s">
        <v>205</v>
      </c>
    </row>
    <row r="302" spans="1:1">
      <c r="A302" s="3" t="s">
        <v>512</v>
      </c>
    </row>
    <row r="303" spans="1:1">
      <c r="A303" s="3" t="s">
        <v>497</v>
      </c>
    </row>
    <row r="304" spans="1:1">
      <c r="A304" s="3" t="s">
        <v>502</v>
      </c>
    </row>
    <row r="305" spans="1:2">
      <c r="A305" s="3" t="s">
        <v>14</v>
      </c>
    </row>
    <row r="306" spans="1:2">
      <c r="A306" s="3" t="s">
        <v>507</v>
      </c>
    </row>
    <row r="307" spans="1:2">
      <c r="A307" s="3" t="s">
        <v>514</v>
      </c>
    </row>
    <row r="308" spans="1:2">
      <c r="A308" s="3" t="s">
        <v>515</v>
      </c>
    </row>
    <row r="309" spans="1:2">
      <c r="A309" s="3" t="s">
        <v>516</v>
      </c>
      <c r="B309" s="2" t="s">
        <v>517</v>
      </c>
    </row>
    <row r="310" spans="1:2">
      <c r="A310" s="3" t="s">
        <v>518</v>
      </c>
      <c r="B310" s="2" t="s">
        <v>530</v>
      </c>
    </row>
    <row r="311" spans="1:2">
      <c r="A311" s="3" t="s">
        <v>520</v>
      </c>
    </row>
    <row r="312" spans="1:2">
      <c r="A312" s="3" t="s">
        <v>502</v>
      </c>
    </row>
    <row r="313" spans="1:2">
      <c r="A313" s="3" t="s">
        <v>209</v>
      </c>
    </row>
    <row r="314" spans="1:2">
      <c r="A314" s="3" t="s">
        <v>215</v>
      </c>
    </row>
    <row r="315" spans="1:2">
      <c r="A315" s="3" t="s">
        <v>521</v>
      </c>
    </row>
    <row r="316" spans="1:2">
      <c r="A316" s="3" t="s">
        <v>224</v>
      </c>
    </row>
    <row r="317" spans="1:2">
      <c r="A317" s="3" t="s">
        <v>522</v>
      </c>
    </row>
    <row r="318" spans="1:2">
      <c r="A318" s="3" t="s">
        <v>523</v>
      </c>
    </row>
    <row r="319" spans="1:2">
      <c r="A319" s="3" t="s">
        <v>524</v>
      </c>
    </row>
    <row r="320" spans="1:2">
      <c r="A320" s="3" t="s">
        <v>525</v>
      </c>
    </row>
    <row r="321" spans="1:11">
      <c r="A321" s="3" t="s">
        <v>526</v>
      </c>
    </row>
    <row r="322" spans="1:11">
      <c r="A322" s="3" t="s">
        <v>527</v>
      </c>
    </row>
    <row r="323" spans="1:11">
      <c r="A323" s="3" t="s">
        <v>528</v>
      </c>
    </row>
    <row r="324" spans="1:11">
      <c r="A324" s="3" t="s">
        <v>497</v>
      </c>
    </row>
    <row r="325" spans="1:11">
      <c r="A325" s="3" t="s">
        <v>502</v>
      </c>
    </row>
    <row r="326" spans="1:11">
      <c r="A326" s="3" t="s">
        <v>14</v>
      </c>
    </row>
    <row r="327" spans="1:11">
      <c r="A327" s="3"/>
    </row>
    <row r="328" spans="1:11">
      <c r="A328" s="3" t="s">
        <v>532</v>
      </c>
    </row>
    <row r="329" spans="1:11">
      <c r="A329" s="3" t="s">
        <v>533</v>
      </c>
      <c r="B329" s="2" t="s">
        <v>245</v>
      </c>
      <c r="C329" s="2" t="s">
        <v>245</v>
      </c>
      <c r="D329" s="2" t="s">
        <v>248</v>
      </c>
      <c r="E329" s="2" t="s">
        <v>248</v>
      </c>
      <c r="F329" s="2" t="s">
        <v>249</v>
      </c>
      <c r="G329" s="2" t="s">
        <v>249</v>
      </c>
      <c r="H329" s="2" t="s">
        <v>250</v>
      </c>
      <c r="I329" s="2" t="s">
        <v>250</v>
      </c>
      <c r="J329" s="2" t="s">
        <v>206</v>
      </c>
      <c r="K329" s="2" t="s">
        <v>206</v>
      </c>
    </row>
    <row r="330" spans="1:11">
      <c r="A330" s="3" t="s">
        <v>498</v>
      </c>
      <c r="B330" s="2" t="s">
        <v>499</v>
      </c>
      <c r="C330" s="2" t="s">
        <v>499</v>
      </c>
      <c r="D330" s="2" t="s">
        <v>499</v>
      </c>
      <c r="E330" s="2" t="s">
        <v>499</v>
      </c>
      <c r="F330" s="2" t="s">
        <v>499</v>
      </c>
      <c r="G330" s="2" t="s">
        <v>499</v>
      </c>
      <c r="H330" s="2" t="s">
        <v>499</v>
      </c>
      <c r="I330" s="2" t="s">
        <v>499</v>
      </c>
      <c r="J330" s="2" t="s">
        <v>534</v>
      </c>
      <c r="K330" s="2" t="s">
        <v>534</v>
      </c>
    </row>
    <row r="331" spans="1:11">
      <c r="A331" s="3" t="s">
        <v>502</v>
      </c>
      <c r="B331" s="2" t="s">
        <v>535</v>
      </c>
      <c r="C331" s="2" t="s">
        <v>536</v>
      </c>
      <c r="D331" s="2" t="s">
        <v>537</v>
      </c>
      <c r="E331" s="2" t="s">
        <v>538</v>
      </c>
      <c r="F331" s="2" t="s">
        <v>539</v>
      </c>
      <c r="G331" s="2" t="s">
        <v>540</v>
      </c>
      <c r="H331" s="2" t="s">
        <v>541</v>
      </c>
      <c r="I331" s="2" t="s">
        <v>542</v>
      </c>
      <c r="J331" s="2" t="s">
        <v>543</v>
      </c>
      <c r="K331" s="2" t="s">
        <v>544</v>
      </c>
    </row>
    <row r="332" spans="1:11">
      <c r="A332" s="3" t="s">
        <v>14</v>
      </c>
      <c r="B332" s="2" t="s">
        <v>419</v>
      </c>
      <c r="C332" s="2" t="s">
        <v>421</v>
      </c>
      <c r="D332" s="2" t="s">
        <v>419</v>
      </c>
      <c r="E332" s="2" t="s">
        <v>421</v>
      </c>
      <c r="F332" s="2" t="s">
        <v>419</v>
      </c>
      <c r="G332" s="2" t="s">
        <v>421</v>
      </c>
      <c r="H332" s="2" t="s">
        <v>419</v>
      </c>
      <c r="I332" s="2" t="s">
        <v>425</v>
      </c>
      <c r="J332" s="2" t="s">
        <v>419</v>
      </c>
      <c r="K332" s="2" t="s">
        <v>423</v>
      </c>
    </row>
    <row r="333" spans="1:11">
      <c r="A333" s="3" t="s">
        <v>507</v>
      </c>
      <c r="B333" s="2" t="s">
        <v>343</v>
      </c>
      <c r="C333" s="2" t="s">
        <v>343</v>
      </c>
      <c r="D333" s="2" t="s">
        <v>343</v>
      </c>
      <c r="E333" s="2" t="s">
        <v>343</v>
      </c>
      <c r="F333" s="2" t="s">
        <v>343</v>
      </c>
      <c r="G333" s="2" t="s">
        <v>343</v>
      </c>
      <c r="H333" s="2" t="s">
        <v>343</v>
      </c>
      <c r="I333" s="2" t="s">
        <v>343</v>
      </c>
      <c r="J333" s="2" t="s">
        <v>343</v>
      </c>
      <c r="K333" s="2" t="s">
        <v>343</v>
      </c>
    </row>
    <row r="334" spans="1:11">
      <c r="A334" s="3" t="s">
        <v>545</v>
      </c>
      <c r="B334" s="2" t="s">
        <v>212</v>
      </c>
      <c r="C334" s="2" t="s">
        <v>211</v>
      </c>
      <c r="D334" s="2" t="s">
        <v>212</v>
      </c>
      <c r="E334" s="2" t="s">
        <v>211</v>
      </c>
      <c r="F334" s="2" t="s">
        <v>212</v>
      </c>
      <c r="G334" s="2" t="s">
        <v>211</v>
      </c>
      <c r="H334" s="2" t="s">
        <v>212</v>
      </c>
      <c r="I334" s="2" t="s">
        <v>211</v>
      </c>
      <c r="J334" s="2" t="s">
        <v>212</v>
      </c>
      <c r="K334" s="2" t="s">
        <v>211</v>
      </c>
    </row>
    <row r="335" spans="1:11">
      <c r="A335" s="3" t="s">
        <v>514</v>
      </c>
      <c r="B335" s="2" t="s">
        <v>218</v>
      </c>
      <c r="C335" s="2" t="s">
        <v>217</v>
      </c>
      <c r="D335" s="2" t="s">
        <v>218</v>
      </c>
      <c r="E335" s="2" t="s">
        <v>217</v>
      </c>
      <c r="F335" s="2" t="s">
        <v>218</v>
      </c>
      <c r="G335" s="2" t="s">
        <v>217</v>
      </c>
      <c r="H335" s="2" t="s">
        <v>218</v>
      </c>
      <c r="I335" s="2" t="s">
        <v>217</v>
      </c>
      <c r="J335" s="2" t="s">
        <v>218</v>
      </c>
      <c r="K335" s="2" t="s">
        <v>217</v>
      </c>
    </row>
    <row r="336" spans="1:11">
      <c r="A336" s="3" t="s">
        <v>510</v>
      </c>
      <c r="B336" s="2" t="s">
        <v>546</v>
      </c>
      <c r="C336" s="2" t="s">
        <v>547</v>
      </c>
      <c r="D336" s="2" t="s">
        <v>548</v>
      </c>
      <c r="E336" s="2" t="s">
        <v>548</v>
      </c>
      <c r="F336" s="2" t="s">
        <v>549</v>
      </c>
      <c r="G336" s="2" t="s">
        <v>549</v>
      </c>
      <c r="H336" s="2" t="s">
        <v>550</v>
      </c>
      <c r="I336" s="2" t="s">
        <v>550</v>
      </c>
      <c r="J336" s="2" t="s">
        <v>551</v>
      </c>
      <c r="K336" s="2" t="s">
        <v>552</v>
      </c>
    </row>
    <row r="337" spans="1:12">
      <c r="A337" s="3" t="s">
        <v>346</v>
      </c>
      <c r="B337" s="2" t="s">
        <v>34</v>
      </c>
      <c r="C337" s="2" t="s">
        <v>34</v>
      </c>
      <c r="D337" s="2" t="s">
        <v>34</v>
      </c>
      <c r="E337" s="2" t="s">
        <v>34</v>
      </c>
      <c r="F337" s="2" t="s">
        <v>34</v>
      </c>
      <c r="G337" s="2" t="s">
        <v>34</v>
      </c>
      <c r="H337" s="2" t="s">
        <v>553</v>
      </c>
      <c r="I337" s="2" t="s">
        <v>553</v>
      </c>
      <c r="J337" s="2" t="s">
        <v>34</v>
      </c>
      <c r="K337" s="2" t="s">
        <v>34</v>
      </c>
    </row>
    <row r="338" spans="1:12">
      <c r="A338" s="3"/>
    </row>
    <row r="339" spans="1:12">
      <c r="A339" s="3" t="s">
        <v>554</v>
      </c>
    </row>
    <row r="340" spans="1:12">
      <c r="A340" s="3" t="s">
        <v>502</v>
      </c>
      <c r="B340" s="2" t="s">
        <v>555</v>
      </c>
      <c r="C340" t="s">
        <v>261</v>
      </c>
      <c r="D340" s="2" t="s">
        <v>513</v>
      </c>
      <c r="E340" s="2" t="s">
        <v>262</v>
      </c>
      <c r="F340" s="2" t="s">
        <v>556</v>
      </c>
      <c r="G340" s="2" t="s">
        <v>263</v>
      </c>
      <c r="H340" s="2" t="s">
        <v>264</v>
      </c>
      <c r="I340" s="2" t="s">
        <v>557</v>
      </c>
      <c r="J340" s="2" t="s">
        <v>537</v>
      </c>
      <c r="K340" s="2" t="s">
        <v>558</v>
      </c>
    </row>
    <row r="341" spans="1:12">
      <c r="A341" s="3" t="s">
        <v>498</v>
      </c>
      <c r="B341" s="2" t="s">
        <v>559</v>
      </c>
      <c r="C341" t="s">
        <v>499</v>
      </c>
      <c r="D341" s="2" t="s">
        <v>559</v>
      </c>
      <c r="E341" s="2" t="s">
        <v>560</v>
      </c>
      <c r="F341" s="2" t="s">
        <v>561</v>
      </c>
      <c r="G341" s="2" t="s">
        <v>560</v>
      </c>
      <c r="H341" s="2" t="s">
        <v>559</v>
      </c>
      <c r="I341" s="2" t="s">
        <v>559</v>
      </c>
      <c r="J341" s="2" t="s">
        <v>499</v>
      </c>
      <c r="K341" s="2" t="s">
        <v>499</v>
      </c>
    </row>
    <row r="342" spans="1:12">
      <c r="A342" s="3"/>
    </row>
    <row r="343" spans="1:12">
      <c r="A343" s="3" t="s">
        <v>562</v>
      </c>
    </row>
    <row r="344" spans="1:12">
      <c r="A344" s="3" t="s">
        <v>563</v>
      </c>
      <c r="B344" s="2">
        <v>20169458</v>
      </c>
      <c r="C344" s="2">
        <v>20169457</v>
      </c>
      <c r="D344" s="2">
        <v>20169456</v>
      </c>
      <c r="E344" s="2">
        <v>20169455</v>
      </c>
      <c r="F344" s="2">
        <v>20169454</v>
      </c>
      <c r="G344" s="2">
        <v>20169453</v>
      </c>
      <c r="H344" s="2">
        <v>20169452</v>
      </c>
      <c r="I344" s="2">
        <v>20169451</v>
      </c>
      <c r="J344" s="2">
        <v>20169450</v>
      </c>
      <c r="K344" s="2">
        <v>20169449</v>
      </c>
    </row>
    <row r="345" spans="1:12">
      <c r="A345" s="3" t="s">
        <v>485</v>
      </c>
      <c r="B345" s="2" t="s">
        <v>564</v>
      </c>
      <c r="C345" s="2" t="s">
        <v>564</v>
      </c>
      <c r="D345" s="2" t="s">
        <v>564</v>
      </c>
      <c r="E345" s="2" t="s">
        <v>564</v>
      </c>
      <c r="F345" s="2" t="s">
        <v>564</v>
      </c>
      <c r="G345" s="2" t="s">
        <v>565</v>
      </c>
      <c r="H345" s="2" t="s">
        <v>566</v>
      </c>
      <c r="I345" s="2" t="s">
        <v>567</v>
      </c>
      <c r="J345" s="2" t="s">
        <v>567</v>
      </c>
      <c r="K345" s="2" t="s">
        <v>568</v>
      </c>
    </row>
    <row r="346" spans="1:12">
      <c r="A346" s="3" t="s">
        <v>569</v>
      </c>
      <c r="B346" s="2" t="s">
        <v>570</v>
      </c>
      <c r="C346" s="2" t="s">
        <v>570</v>
      </c>
      <c r="D346" s="2" t="s">
        <v>570</v>
      </c>
      <c r="E346" s="2" t="s">
        <v>570</v>
      </c>
      <c r="F346" s="2" t="s">
        <v>570</v>
      </c>
      <c r="G346" s="2" t="s">
        <v>570</v>
      </c>
      <c r="H346" s="2" t="s">
        <v>570</v>
      </c>
      <c r="I346" s="2" t="s">
        <v>570</v>
      </c>
      <c r="J346" s="2" t="s">
        <v>570</v>
      </c>
      <c r="K346" s="2" t="s">
        <v>570</v>
      </c>
      <c r="L346" s="2" t="s">
        <v>570</v>
      </c>
    </row>
    <row r="347" spans="1:12">
      <c r="A347" s="3" t="s">
        <v>571</v>
      </c>
    </row>
    <row r="348" spans="1:12">
      <c r="A348" s="3" t="s">
        <v>572</v>
      </c>
      <c r="B348" s="2" t="s">
        <v>573</v>
      </c>
      <c r="C348" s="2" t="s">
        <v>574</v>
      </c>
      <c r="D348" s="2" t="s">
        <v>575</v>
      </c>
      <c r="E348" s="2" t="s">
        <v>576</v>
      </c>
      <c r="F348" s="2" t="s">
        <v>577</v>
      </c>
      <c r="G348" s="2" t="s">
        <v>578</v>
      </c>
      <c r="H348" s="2" t="s">
        <v>579</v>
      </c>
      <c r="I348" s="2" t="s">
        <v>580</v>
      </c>
      <c r="J348" s="2" t="s">
        <v>581</v>
      </c>
      <c r="K348" s="2" t="s">
        <v>573</v>
      </c>
    </row>
    <row r="349" spans="1:12">
      <c r="A349" s="3" t="s">
        <v>582</v>
      </c>
    </row>
    <row r="350" spans="1:12">
      <c r="A350" s="3" t="s">
        <v>583</v>
      </c>
      <c r="B350" s="2" t="s">
        <v>584</v>
      </c>
      <c r="C350" s="2" t="s">
        <v>584</v>
      </c>
      <c r="D350" s="2" t="s">
        <v>584</v>
      </c>
      <c r="E350" s="2" t="s">
        <v>584</v>
      </c>
      <c r="F350" s="2" t="s">
        <v>584</v>
      </c>
      <c r="G350" s="2" t="s">
        <v>584</v>
      </c>
      <c r="H350" s="2" t="s">
        <v>584</v>
      </c>
      <c r="I350" s="2" t="s">
        <v>584</v>
      </c>
      <c r="J350" s="2" t="s">
        <v>584</v>
      </c>
      <c r="K350" s="2" t="s">
        <v>584</v>
      </c>
    </row>
    <row r="351" spans="1:12">
      <c r="A351" s="3" t="s">
        <v>585</v>
      </c>
      <c r="B351" s="2">
        <v>20169458</v>
      </c>
      <c r="C351" s="2">
        <v>20169457</v>
      </c>
      <c r="D351" s="2">
        <v>20169456</v>
      </c>
      <c r="E351" s="2">
        <v>20169455</v>
      </c>
      <c r="F351" s="2">
        <v>20169454</v>
      </c>
      <c r="G351" s="2">
        <v>20169453</v>
      </c>
      <c r="H351" s="2">
        <v>20169452</v>
      </c>
      <c r="I351" s="2">
        <v>20169451</v>
      </c>
      <c r="J351" s="2">
        <v>20169450</v>
      </c>
      <c r="K351" s="2">
        <v>20169449</v>
      </c>
    </row>
    <row r="352" spans="1:12">
      <c r="A352" s="3" t="s">
        <v>586</v>
      </c>
      <c r="B352" s="2" t="s">
        <v>587</v>
      </c>
      <c r="C352" s="2" t="s">
        <v>587</v>
      </c>
      <c r="D352" s="2" t="s">
        <v>587</v>
      </c>
      <c r="E352" s="2" t="s">
        <v>587</v>
      </c>
      <c r="F352" s="2" t="s">
        <v>587</v>
      </c>
      <c r="G352" s="2" t="s">
        <v>588</v>
      </c>
      <c r="H352" s="2" t="s">
        <v>588</v>
      </c>
      <c r="I352" s="2" t="s">
        <v>588</v>
      </c>
      <c r="J352" s="2" t="s">
        <v>588</v>
      </c>
      <c r="K352" s="2" t="s">
        <v>588</v>
      </c>
    </row>
    <row r="353" spans="1:16">
      <c r="A353" s="3" t="s">
        <v>589</v>
      </c>
      <c r="B353" s="2" t="b">
        <v>0</v>
      </c>
      <c r="C353" s="2" t="b">
        <v>0</v>
      </c>
      <c r="D353" s="2" t="b">
        <v>0</v>
      </c>
      <c r="E353" s="2" t="b">
        <v>0</v>
      </c>
      <c r="F353" s="2" t="b">
        <v>0</v>
      </c>
      <c r="G353" s="2" t="b">
        <v>0</v>
      </c>
      <c r="H353" s="2" t="b">
        <v>0</v>
      </c>
      <c r="I353" s="2" t="b">
        <v>1</v>
      </c>
      <c r="J353" s="2" t="b">
        <v>1</v>
      </c>
      <c r="K353" s="2" t="b">
        <v>0</v>
      </c>
    </row>
    <row r="354" spans="1:16">
      <c r="A354" s="3"/>
    </row>
    <row r="355" spans="1:16">
      <c r="A355" s="3" t="s">
        <v>590</v>
      </c>
    </row>
    <row r="356" spans="1:16">
      <c r="A356" s="3" t="s">
        <v>591</v>
      </c>
      <c r="B356" s="2">
        <v>1466938</v>
      </c>
      <c r="C356" s="2">
        <v>1466938</v>
      </c>
      <c r="D356" s="2">
        <v>1466938</v>
      </c>
      <c r="E356" s="2">
        <v>1466938</v>
      </c>
      <c r="F356" s="2">
        <v>1466938</v>
      </c>
      <c r="G356" s="2">
        <v>1466938</v>
      </c>
      <c r="H356" s="2">
        <v>1466938</v>
      </c>
      <c r="I356" s="2">
        <v>1466938</v>
      </c>
      <c r="J356" s="2">
        <v>1466938</v>
      </c>
      <c r="K356" s="2">
        <v>1466938</v>
      </c>
      <c r="L356" s="2">
        <v>1466938</v>
      </c>
      <c r="M356" s="2">
        <v>1466938</v>
      </c>
      <c r="N356" s="2">
        <v>1466938</v>
      </c>
      <c r="O356" s="2">
        <v>1466938</v>
      </c>
      <c r="P356" s="2">
        <v>1466938</v>
      </c>
    </row>
    <row r="357" spans="1:16">
      <c r="A357" s="3" t="s">
        <v>201</v>
      </c>
      <c r="B357" s="2">
        <v>5141203</v>
      </c>
      <c r="C357" s="2">
        <v>5141203</v>
      </c>
      <c r="D357" s="2">
        <v>5141203</v>
      </c>
      <c r="E357" s="2">
        <v>5141203</v>
      </c>
      <c r="F357" s="2">
        <v>5141203</v>
      </c>
      <c r="G357" s="2">
        <v>5141203</v>
      </c>
      <c r="H357" s="2">
        <v>5141203</v>
      </c>
      <c r="I357" s="2">
        <v>5141203</v>
      </c>
      <c r="J357" s="2">
        <v>5141203</v>
      </c>
      <c r="K357" s="2">
        <v>5141203</v>
      </c>
      <c r="L357" s="2">
        <v>5141203</v>
      </c>
      <c r="M357" s="2">
        <v>5141203</v>
      </c>
      <c r="N357" s="2">
        <v>5141203</v>
      </c>
      <c r="O357" s="2">
        <v>5141203</v>
      </c>
      <c r="P357" s="2">
        <v>5141203</v>
      </c>
    </row>
    <row r="358" spans="1:16">
      <c r="A358" s="3" t="s">
        <v>112</v>
      </c>
      <c r="B358" s="2" t="s">
        <v>113</v>
      </c>
      <c r="C358" s="2" t="s">
        <v>113</v>
      </c>
      <c r="D358" s="2" t="s">
        <v>113</v>
      </c>
      <c r="E358" s="2" t="s">
        <v>113</v>
      </c>
      <c r="F358" s="2" t="s">
        <v>113</v>
      </c>
      <c r="G358" s="2" t="s">
        <v>114</v>
      </c>
      <c r="H358" s="2" t="s">
        <v>115</v>
      </c>
      <c r="I358" s="2" t="s">
        <v>116</v>
      </c>
      <c r="J358" s="2" t="s">
        <v>117</v>
      </c>
      <c r="K358" s="2" t="s">
        <v>118</v>
      </c>
      <c r="L358" t="s">
        <v>119</v>
      </c>
      <c r="M358" t="s">
        <v>120</v>
      </c>
      <c r="N358" t="s">
        <v>121</v>
      </c>
      <c r="O358" t="s">
        <v>122</v>
      </c>
    </row>
    <row r="359" spans="1:16">
      <c r="A359" s="3" t="s">
        <v>592</v>
      </c>
      <c r="B359" s="2" t="s">
        <v>137</v>
      </c>
      <c r="C359" s="2" t="s">
        <v>593</v>
      </c>
      <c r="D359" s="2" t="s">
        <v>594</v>
      </c>
      <c r="E359" s="2" t="s">
        <v>595</v>
      </c>
      <c r="F359" s="2" t="s">
        <v>596</v>
      </c>
      <c r="G359" s="2" t="s">
        <v>597</v>
      </c>
      <c r="H359" s="2" t="s">
        <v>598</v>
      </c>
      <c r="I359" s="2" t="s">
        <v>599</v>
      </c>
      <c r="J359" s="2" t="s">
        <v>600</v>
      </c>
      <c r="K359" s="2" t="s">
        <v>601</v>
      </c>
      <c r="L359" t="s">
        <v>602</v>
      </c>
      <c r="M359" t="s">
        <v>603</v>
      </c>
      <c r="N359" t="s">
        <v>604</v>
      </c>
      <c r="O359" t="s">
        <v>605</v>
      </c>
      <c r="P359" t="s">
        <v>606</v>
      </c>
    </row>
    <row r="360" spans="1:16">
      <c r="A360" s="3" t="s">
        <v>244</v>
      </c>
      <c r="B360" s="2" t="s">
        <v>245</v>
      </c>
      <c r="C360" s="2" t="s">
        <v>245</v>
      </c>
      <c r="D360" s="2" t="s">
        <v>245</v>
      </c>
      <c r="E360" s="2" t="s">
        <v>245</v>
      </c>
      <c r="F360" s="2" t="s">
        <v>245</v>
      </c>
      <c r="G360" s="2" t="s">
        <v>245</v>
      </c>
      <c r="H360" s="2" t="s">
        <v>245</v>
      </c>
      <c r="I360" s="2" t="s">
        <v>245</v>
      </c>
      <c r="J360" s="2" t="s">
        <v>245</v>
      </c>
      <c r="K360" s="2" t="s">
        <v>245</v>
      </c>
      <c r="L360" s="2" t="s">
        <v>245</v>
      </c>
      <c r="M360" s="2" t="s">
        <v>245</v>
      </c>
      <c r="N360" s="2" t="s">
        <v>245</v>
      </c>
      <c r="O360" s="2" t="s">
        <v>245</v>
      </c>
      <c r="P360" s="2" t="s">
        <v>245</v>
      </c>
    </row>
    <row r="361" spans="1:16">
      <c r="A361" s="3" t="s">
        <v>607</v>
      </c>
      <c r="B361" s="2" t="s">
        <v>64</v>
      </c>
      <c r="C361" s="2" t="s">
        <v>64</v>
      </c>
      <c r="D361" s="2" t="s">
        <v>64</v>
      </c>
      <c r="E361" s="2" t="s">
        <v>64</v>
      </c>
      <c r="F361" s="2" t="s">
        <v>64</v>
      </c>
      <c r="G361" s="2" t="s">
        <v>64</v>
      </c>
      <c r="H361" s="2" t="s">
        <v>64</v>
      </c>
      <c r="I361" s="2" t="s">
        <v>64</v>
      </c>
      <c r="J361" s="2" t="s">
        <v>64</v>
      </c>
      <c r="K361" s="2" t="s">
        <v>64</v>
      </c>
      <c r="L361" s="2" t="s">
        <v>64</v>
      </c>
      <c r="M361" s="2" t="s">
        <v>64</v>
      </c>
      <c r="N361" s="2" t="s">
        <v>64</v>
      </c>
      <c r="O361" s="2" t="s">
        <v>64</v>
      </c>
      <c r="P361" s="2" t="s">
        <v>64</v>
      </c>
    </row>
    <row r="362" spans="1:16">
      <c r="A362" s="3" t="s">
        <v>259</v>
      </c>
      <c r="B362" s="2">
        <v>62178</v>
      </c>
      <c r="C362" s="2">
        <v>62178</v>
      </c>
      <c r="D362" s="2">
        <v>62178</v>
      </c>
      <c r="E362" s="2">
        <v>62178</v>
      </c>
      <c r="F362" s="2">
        <v>62178</v>
      </c>
      <c r="G362" s="2">
        <v>62178</v>
      </c>
      <c r="H362" s="2">
        <v>62178</v>
      </c>
      <c r="I362" s="2">
        <v>62178</v>
      </c>
      <c r="J362" s="2">
        <v>62178</v>
      </c>
      <c r="K362" s="2">
        <v>62178</v>
      </c>
      <c r="L362" s="2">
        <v>62178</v>
      </c>
      <c r="M362" s="2">
        <v>62178</v>
      </c>
      <c r="N362" s="2">
        <v>62178</v>
      </c>
      <c r="O362" s="2">
        <v>62178</v>
      </c>
      <c r="P362" s="2">
        <v>62178</v>
      </c>
    </row>
    <row r="363" spans="1:16">
      <c r="A363" s="3" t="s">
        <v>260</v>
      </c>
      <c r="B363" t="s">
        <v>261</v>
      </c>
      <c r="C363" t="s">
        <v>261</v>
      </c>
      <c r="D363" t="s">
        <v>261</v>
      </c>
      <c r="E363" t="s">
        <v>261</v>
      </c>
      <c r="F363" t="s">
        <v>261</v>
      </c>
      <c r="G363" t="s">
        <v>261</v>
      </c>
      <c r="H363" t="s">
        <v>261</v>
      </c>
      <c r="I363" t="s">
        <v>261</v>
      </c>
      <c r="J363" t="s">
        <v>261</v>
      </c>
      <c r="K363" t="s">
        <v>261</v>
      </c>
      <c r="L363" t="s">
        <v>261</v>
      </c>
      <c r="M363" t="s">
        <v>261</v>
      </c>
      <c r="N363" t="s">
        <v>261</v>
      </c>
      <c r="O363" t="s">
        <v>261</v>
      </c>
      <c r="P363" t="s">
        <v>261</v>
      </c>
    </row>
    <row r="364" spans="1:16">
      <c r="A364" s="3" t="s">
        <v>202</v>
      </c>
      <c r="B364" s="2" t="s">
        <v>203</v>
      </c>
      <c r="C364" s="2" t="s">
        <v>203</v>
      </c>
      <c r="D364" s="2" t="s">
        <v>203</v>
      </c>
      <c r="E364" s="2" t="s">
        <v>203</v>
      </c>
      <c r="F364" s="2" t="s">
        <v>203</v>
      </c>
      <c r="G364" s="2" t="s">
        <v>203</v>
      </c>
      <c r="H364" s="2" t="s">
        <v>203</v>
      </c>
      <c r="I364" s="2" t="s">
        <v>203</v>
      </c>
      <c r="J364" s="2" t="s">
        <v>203</v>
      </c>
      <c r="K364" s="2" t="s">
        <v>203</v>
      </c>
      <c r="L364" s="2" t="s">
        <v>203</v>
      </c>
      <c r="M364" s="2" t="s">
        <v>203</v>
      </c>
      <c r="N364" s="2" t="s">
        <v>203</v>
      </c>
      <c r="O364" s="2" t="s">
        <v>203</v>
      </c>
      <c r="P364" s="2" t="s">
        <v>203</v>
      </c>
    </row>
    <row r="365" spans="1:16">
      <c r="A365" s="3" t="s">
        <v>317</v>
      </c>
      <c r="B365" s="2" t="s">
        <v>608</v>
      </c>
      <c r="C365" s="2" t="s">
        <v>608</v>
      </c>
      <c r="D365" s="2" t="s">
        <v>608</v>
      </c>
      <c r="E365" s="2" t="s">
        <v>608</v>
      </c>
      <c r="F365" s="2" t="s">
        <v>608</v>
      </c>
      <c r="G365" s="2" t="s">
        <v>608</v>
      </c>
      <c r="H365" s="2" t="s">
        <v>608</v>
      </c>
      <c r="I365" s="2" t="s">
        <v>608</v>
      </c>
      <c r="J365" s="2" t="s">
        <v>608</v>
      </c>
      <c r="K365" s="2" t="s">
        <v>608</v>
      </c>
      <c r="L365" s="2" t="s">
        <v>608</v>
      </c>
      <c r="M365" s="2" t="s">
        <v>608</v>
      </c>
      <c r="N365" s="2" t="s">
        <v>608</v>
      </c>
      <c r="O365" s="2" t="s">
        <v>608</v>
      </c>
      <c r="P365" s="2" t="s">
        <v>608</v>
      </c>
    </row>
    <row r="366" spans="1:16">
      <c r="A366" s="3" t="s">
        <v>323</v>
      </c>
      <c r="B366" s="2" t="s">
        <v>609</v>
      </c>
      <c r="C366" s="2" t="s">
        <v>609</v>
      </c>
      <c r="D366" s="2" t="s">
        <v>609</v>
      </c>
      <c r="E366" s="2" t="s">
        <v>609</v>
      </c>
      <c r="F366" s="2" t="s">
        <v>609</v>
      </c>
      <c r="G366" s="2" t="s">
        <v>609</v>
      </c>
      <c r="H366" s="2" t="s">
        <v>609</v>
      </c>
      <c r="I366" s="2" t="s">
        <v>609</v>
      </c>
      <c r="J366" s="2" t="s">
        <v>609</v>
      </c>
      <c r="K366" s="2" t="s">
        <v>609</v>
      </c>
      <c r="L366" s="2" t="s">
        <v>609</v>
      </c>
      <c r="M366" s="2" t="s">
        <v>609</v>
      </c>
      <c r="N366" s="2" t="s">
        <v>609</v>
      </c>
      <c r="O366" s="2" t="s">
        <v>609</v>
      </c>
      <c r="P366" s="2" t="s">
        <v>609</v>
      </c>
    </row>
    <row r="367" spans="1:16">
      <c r="A367" s="3" t="s">
        <v>327</v>
      </c>
      <c r="B367" s="2" t="s">
        <v>610</v>
      </c>
      <c r="C367" s="2" t="s">
        <v>610</v>
      </c>
      <c r="D367" s="2" t="s">
        <v>610</v>
      </c>
      <c r="E367" s="2" t="s">
        <v>610</v>
      </c>
      <c r="F367" s="2" t="s">
        <v>610</v>
      </c>
      <c r="G367" s="2" t="s">
        <v>610</v>
      </c>
      <c r="H367" s="2" t="s">
        <v>610</v>
      </c>
      <c r="I367" s="2" t="s">
        <v>610</v>
      </c>
      <c r="J367" s="2" t="s">
        <v>610</v>
      </c>
      <c r="K367" s="2" t="s">
        <v>610</v>
      </c>
      <c r="L367" s="2" t="s">
        <v>610</v>
      </c>
      <c r="M367" s="2" t="s">
        <v>610</v>
      </c>
      <c r="N367" s="2" t="s">
        <v>610</v>
      </c>
      <c r="O367" s="2" t="s">
        <v>610</v>
      </c>
      <c r="P367" s="2" t="s">
        <v>610</v>
      </c>
    </row>
    <row r="368" spans="1:16">
      <c r="A368" s="3" t="s">
        <v>342</v>
      </c>
      <c r="B368" s="2" t="s">
        <v>344</v>
      </c>
      <c r="C368" s="2" t="s">
        <v>344</v>
      </c>
      <c r="D368" s="2" t="s">
        <v>344</v>
      </c>
      <c r="E368" s="2" t="s">
        <v>344</v>
      </c>
      <c r="F368" s="2" t="s">
        <v>344</v>
      </c>
      <c r="G368" s="2" t="s">
        <v>344</v>
      </c>
      <c r="H368" s="2" t="s">
        <v>344</v>
      </c>
      <c r="I368" s="2" t="s">
        <v>344</v>
      </c>
      <c r="J368" s="2" t="s">
        <v>344</v>
      </c>
      <c r="K368" s="2" t="s">
        <v>344</v>
      </c>
      <c r="L368" s="2" t="s">
        <v>344</v>
      </c>
      <c r="M368" s="2" t="s">
        <v>344</v>
      </c>
      <c r="N368" s="2" t="s">
        <v>344</v>
      </c>
      <c r="O368" s="2" t="s">
        <v>344</v>
      </c>
      <c r="P368" s="2" t="s">
        <v>344</v>
      </c>
    </row>
    <row r="369" spans="1:16">
      <c r="A369" s="3" t="s">
        <v>346</v>
      </c>
      <c r="L369" s="2"/>
      <c r="M369" s="2"/>
      <c r="N369" s="2"/>
      <c r="O369" s="2"/>
      <c r="P369" s="2"/>
    </row>
    <row r="370" spans="1:16">
      <c r="A370" s="3" t="s">
        <v>611</v>
      </c>
      <c r="B370" s="12" t="s">
        <v>612</v>
      </c>
      <c r="C370" s="12" t="s">
        <v>612</v>
      </c>
      <c r="D370" s="12" t="s">
        <v>612</v>
      </c>
      <c r="E370" s="12" t="s">
        <v>612</v>
      </c>
      <c r="F370" s="12" t="s">
        <v>612</v>
      </c>
      <c r="G370" s="12" t="s">
        <v>612</v>
      </c>
      <c r="H370" s="12" t="s">
        <v>612</v>
      </c>
      <c r="I370" s="12" t="s">
        <v>612</v>
      </c>
      <c r="J370" s="12" t="s">
        <v>612</v>
      </c>
      <c r="K370" s="12" t="s">
        <v>612</v>
      </c>
      <c r="L370" s="12" t="s">
        <v>612</v>
      </c>
      <c r="M370" s="12" t="s">
        <v>612</v>
      </c>
      <c r="N370" s="12" t="s">
        <v>612</v>
      </c>
      <c r="O370" s="12" t="s">
        <v>612</v>
      </c>
      <c r="P370" s="12" t="s">
        <v>612</v>
      </c>
    </row>
    <row r="371" spans="1:16">
      <c r="A371" s="3" t="s">
        <v>417</v>
      </c>
      <c r="B371" s="2" t="s">
        <v>419</v>
      </c>
      <c r="C371" s="2" t="s">
        <v>419</v>
      </c>
      <c r="D371" s="2" t="s">
        <v>419</v>
      </c>
      <c r="E371" s="2" t="s">
        <v>419</v>
      </c>
      <c r="F371" s="2" t="s">
        <v>419</v>
      </c>
      <c r="G371" s="2" t="s">
        <v>419</v>
      </c>
      <c r="H371" s="2" t="s">
        <v>419</v>
      </c>
      <c r="I371" s="2" t="s">
        <v>419</v>
      </c>
      <c r="J371" s="2" t="s">
        <v>419</v>
      </c>
      <c r="K371" s="2" t="s">
        <v>419</v>
      </c>
      <c r="L371" s="2" t="s">
        <v>419</v>
      </c>
      <c r="M371" s="2" t="s">
        <v>419</v>
      </c>
      <c r="N371" s="2" t="s">
        <v>419</v>
      </c>
      <c r="O371" s="2" t="s">
        <v>419</v>
      </c>
      <c r="P371" s="2" t="s">
        <v>419</v>
      </c>
    </row>
    <row r="372" spans="1:16">
      <c r="A372" s="3" t="s">
        <v>399</v>
      </c>
      <c r="L372" s="2"/>
      <c r="M372" s="2"/>
      <c r="N372" s="2"/>
      <c r="O372" s="2"/>
      <c r="P372" s="2"/>
    </row>
    <row r="373" spans="1:16">
      <c r="A373" s="3" t="s">
        <v>426</v>
      </c>
      <c r="L373" s="2"/>
      <c r="M373" s="2"/>
      <c r="N373" s="2"/>
      <c r="O373" s="2"/>
      <c r="P373" s="2"/>
    </row>
    <row r="374" spans="1:16">
      <c r="A374" s="3" t="s">
        <v>613</v>
      </c>
      <c r="B374" s="2" t="s">
        <v>614</v>
      </c>
      <c r="C374" s="2" t="s">
        <v>614</v>
      </c>
      <c r="D374" s="2" t="s">
        <v>614</v>
      </c>
      <c r="E374" s="2" t="s">
        <v>614</v>
      </c>
      <c r="F374" s="2" t="s">
        <v>614</v>
      </c>
      <c r="G374" s="2" t="s">
        <v>614</v>
      </c>
      <c r="H374" s="2" t="s">
        <v>614</v>
      </c>
      <c r="I374" s="2" t="s">
        <v>614</v>
      </c>
      <c r="J374" s="2" t="s">
        <v>614</v>
      </c>
      <c r="K374" s="2" t="s">
        <v>614</v>
      </c>
      <c r="L374" s="2" t="s">
        <v>614</v>
      </c>
      <c r="M374" s="2" t="s">
        <v>614</v>
      </c>
      <c r="N374" s="2" t="s">
        <v>614</v>
      </c>
      <c r="O374" s="2" t="s">
        <v>614</v>
      </c>
      <c r="P374" s="2" t="s">
        <v>614</v>
      </c>
    </row>
    <row r="375" spans="1:16">
      <c r="A375" s="3" t="s">
        <v>432</v>
      </c>
      <c r="L375" s="2"/>
      <c r="M375" s="2"/>
      <c r="N375" s="2"/>
      <c r="O375" s="2"/>
      <c r="P375" s="2"/>
    </row>
    <row r="376" spans="1:16">
      <c r="A376" s="3" t="s">
        <v>444</v>
      </c>
      <c r="B376" s="2" t="s">
        <v>34</v>
      </c>
      <c r="C376" s="2" t="s">
        <v>34</v>
      </c>
      <c r="D376" s="2" t="s">
        <v>34</v>
      </c>
      <c r="E376" s="2" t="s">
        <v>34</v>
      </c>
      <c r="F376" s="2" t="s">
        <v>34</v>
      </c>
      <c r="G376" s="2" t="s">
        <v>34</v>
      </c>
      <c r="H376" s="2" t="s">
        <v>34</v>
      </c>
      <c r="I376" s="2" t="s">
        <v>34</v>
      </c>
      <c r="J376" s="2" t="s">
        <v>34</v>
      </c>
      <c r="K376" s="2" t="s">
        <v>34</v>
      </c>
      <c r="L376" s="2" t="s">
        <v>34</v>
      </c>
      <c r="M376" s="2" t="s">
        <v>34</v>
      </c>
      <c r="N376" s="2" t="s">
        <v>34</v>
      </c>
      <c r="O376" s="2" t="s">
        <v>34</v>
      </c>
      <c r="P376" s="2" t="s">
        <v>34</v>
      </c>
    </row>
    <row r="377" spans="1:16">
      <c r="A377" s="3" t="s">
        <v>459</v>
      </c>
      <c r="B377" s="2" t="s">
        <v>34</v>
      </c>
      <c r="C377" s="2" t="s">
        <v>34</v>
      </c>
      <c r="D377" s="2" t="s">
        <v>34</v>
      </c>
      <c r="E377" s="2" t="s">
        <v>34</v>
      </c>
      <c r="F377" s="2" t="s">
        <v>34</v>
      </c>
      <c r="G377" s="2" t="s">
        <v>34</v>
      </c>
      <c r="H377" s="2" t="s">
        <v>34</v>
      </c>
      <c r="I377" s="2" t="s">
        <v>34</v>
      </c>
      <c r="J377" s="2" t="s">
        <v>34</v>
      </c>
      <c r="K377" s="2" t="s">
        <v>34</v>
      </c>
      <c r="L377" s="2" t="s">
        <v>34</v>
      </c>
      <c r="M377" s="2" t="s">
        <v>34</v>
      </c>
      <c r="N377" s="2" t="s">
        <v>34</v>
      </c>
      <c r="O377" s="2" t="s">
        <v>34</v>
      </c>
      <c r="P377" s="2" t="s">
        <v>34</v>
      </c>
    </row>
    <row r="378" spans="1:16">
      <c r="A378" s="3" t="s">
        <v>234</v>
      </c>
      <c r="L378" s="2"/>
      <c r="M378" s="2"/>
      <c r="N378" s="2"/>
      <c r="O378" s="2"/>
      <c r="P378" s="2"/>
    </row>
    <row r="379" spans="1:16">
      <c r="A379" s="3" t="s">
        <v>461</v>
      </c>
      <c r="L379" s="2"/>
      <c r="M379" s="2"/>
      <c r="N379" s="2"/>
      <c r="O379" s="2"/>
      <c r="P379" s="2"/>
    </row>
    <row r="380" spans="1:16">
      <c r="A380" s="3" t="s">
        <v>462</v>
      </c>
      <c r="L380" s="2"/>
      <c r="M380" s="2"/>
      <c r="N380" s="2"/>
      <c r="O380" s="2"/>
      <c r="P380" s="2"/>
    </row>
    <row r="381" spans="1:16">
      <c r="A381" s="3" t="s">
        <v>463</v>
      </c>
      <c r="L381" s="2"/>
      <c r="M381" s="2"/>
      <c r="N381" s="2"/>
      <c r="O381" s="2"/>
      <c r="P381" s="2"/>
    </row>
    <row r="382" spans="1:16">
      <c r="A382" s="3" t="s">
        <v>85</v>
      </c>
      <c r="B382" s="2" t="s">
        <v>615</v>
      </c>
      <c r="C382" s="2" t="s">
        <v>615</v>
      </c>
      <c r="D382" s="2" t="s">
        <v>615</v>
      </c>
      <c r="E382" s="2" t="s">
        <v>615</v>
      </c>
      <c r="F382" s="2" t="s">
        <v>615</v>
      </c>
      <c r="G382" s="2" t="s">
        <v>615</v>
      </c>
      <c r="H382" s="2" t="s">
        <v>615</v>
      </c>
      <c r="I382" s="2" t="s">
        <v>615</v>
      </c>
      <c r="J382" s="2" t="s">
        <v>615</v>
      </c>
      <c r="K382" s="2" t="s">
        <v>615</v>
      </c>
      <c r="L382" s="2" t="s">
        <v>615</v>
      </c>
      <c r="M382" s="2" t="s">
        <v>615</v>
      </c>
      <c r="N382" s="2" t="s">
        <v>615</v>
      </c>
      <c r="O382" s="2" t="s">
        <v>615</v>
      </c>
      <c r="P382" s="2" t="s">
        <v>615</v>
      </c>
    </row>
    <row r="383" spans="1:16">
      <c r="A383" s="3" t="s">
        <v>86</v>
      </c>
      <c r="B383" s="2" t="s">
        <v>467</v>
      </c>
      <c r="C383" s="2" t="s">
        <v>467</v>
      </c>
      <c r="D383" s="2" t="s">
        <v>467</v>
      </c>
      <c r="E383" s="2" t="s">
        <v>467</v>
      </c>
      <c r="F383" s="2" t="s">
        <v>467</v>
      </c>
      <c r="G383" s="2" t="s">
        <v>467</v>
      </c>
      <c r="H383" s="2" t="s">
        <v>467</v>
      </c>
      <c r="I383" s="2" t="s">
        <v>467</v>
      </c>
      <c r="J383" s="2" t="s">
        <v>467</v>
      </c>
      <c r="K383" s="2" t="s">
        <v>467</v>
      </c>
      <c r="L383" s="2" t="s">
        <v>467</v>
      </c>
      <c r="M383" s="2" t="s">
        <v>467</v>
      </c>
      <c r="N383" s="2" t="s">
        <v>467</v>
      </c>
      <c r="O383" s="2" t="s">
        <v>467</v>
      </c>
      <c r="P383" s="2" t="s">
        <v>467</v>
      </c>
    </row>
    <row r="384" spans="1:16">
      <c r="A384" s="3" t="s">
        <v>88</v>
      </c>
      <c r="B384" s="2" t="s">
        <v>616</v>
      </c>
      <c r="C384" s="2" t="s">
        <v>616</v>
      </c>
      <c r="D384" s="2" t="s">
        <v>616</v>
      </c>
      <c r="E384" s="2" t="s">
        <v>616</v>
      </c>
      <c r="F384" s="2" t="s">
        <v>616</v>
      </c>
      <c r="G384" s="2" t="s">
        <v>616</v>
      </c>
      <c r="H384" s="2" t="s">
        <v>616</v>
      </c>
      <c r="I384" s="2" t="s">
        <v>616</v>
      </c>
      <c r="J384" s="2" t="s">
        <v>616</v>
      </c>
      <c r="K384" s="2" t="s">
        <v>616</v>
      </c>
      <c r="L384" s="2" t="s">
        <v>616</v>
      </c>
      <c r="M384" s="2" t="s">
        <v>616</v>
      </c>
      <c r="N384" s="2" t="s">
        <v>616</v>
      </c>
      <c r="O384" s="2" t="s">
        <v>616</v>
      </c>
      <c r="P384" s="2" t="s">
        <v>616</v>
      </c>
    </row>
    <row r="385" spans="1:16">
      <c r="A385" s="3" t="s">
        <v>90</v>
      </c>
      <c r="B385" s="2" t="s">
        <v>471</v>
      </c>
      <c r="C385" s="2" t="s">
        <v>471</v>
      </c>
      <c r="D385" s="2" t="s">
        <v>471</v>
      </c>
      <c r="E385" s="2" t="s">
        <v>471</v>
      </c>
      <c r="F385" s="2" t="s">
        <v>471</v>
      </c>
      <c r="G385" s="2" t="s">
        <v>471</v>
      </c>
      <c r="H385" s="2" t="s">
        <v>471</v>
      </c>
      <c r="I385" s="2" t="s">
        <v>471</v>
      </c>
      <c r="J385" s="2" t="s">
        <v>471</v>
      </c>
      <c r="K385" s="2" t="s">
        <v>471</v>
      </c>
      <c r="L385" s="2" t="s">
        <v>471</v>
      </c>
      <c r="M385" s="2" t="s">
        <v>471</v>
      </c>
      <c r="N385" s="2" t="s">
        <v>471</v>
      </c>
      <c r="O385" s="2" t="s">
        <v>471</v>
      </c>
      <c r="P385" s="2" t="s">
        <v>471</v>
      </c>
    </row>
    <row r="386" spans="1:16">
      <c r="A386" s="3" t="s">
        <v>617</v>
      </c>
      <c r="B386" s="2" t="s">
        <v>465</v>
      </c>
      <c r="C386" s="2" t="s">
        <v>465</v>
      </c>
      <c r="D386" s="2" t="s">
        <v>465</v>
      </c>
      <c r="E386" s="2" t="s">
        <v>465</v>
      </c>
      <c r="F386" s="2" t="s">
        <v>465</v>
      </c>
      <c r="G386" s="2" t="s">
        <v>465</v>
      </c>
      <c r="H386" s="2" t="s">
        <v>465</v>
      </c>
      <c r="I386" s="2" t="s">
        <v>465</v>
      </c>
      <c r="J386" s="2" t="s">
        <v>465</v>
      </c>
      <c r="K386" s="2" t="s">
        <v>465</v>
      </c>
      <c r="L386" s="2" t="s">
        <v>465</v>
      </c>
      <c r="M386" s="2" t="s">
        <v>465</v>
      </c>
      <c r="N386" s="2" t="s">
        <v>465</v>
      </c>
      <c r="O386" s="2" t="s">
        <v>465</v>
      </c>
      <c r="P386" s="2" t="s">
        <v>465</v>
      </c>
    </row>
    <row r="388" spans="1:16">
      <c r="A388" s="3" t="s">
        <v>618</v>
      </c>
    </row>
    <row r="389" spans="1:16">
      <c r="A389" s="2" t="s">
        <v>56</v>
      </c>
    </row>
    <row r="390" spans="1:16">
      <c r="A390" s="2" t="s">
        <v>27</v>
      </c>
    </row>
    <row r="391" spans="1:16">
      <c r="A391" s="2" t="s">
        <v>31</v>
      </c>
    </row>
    <row r="392" spans="1:16">
      <c r="A392" s="2" t="s">
        <v>619</v>
      </c>
    </row>
    <row r="393" spans="1:16">
      <c r="A393" s="2" t="s">
        <v>620</v>
      </c>
    </row>
    <row r="394" spans="1:16">
      <c r="A394" s="2" t="s">
        <v>621</v>
      </c>
    </row>
    <row r="395" spans="1:16">
      <c r="A395" s="2" t="s">
        <v>112</v>
      </c>
    </row>
    <row r="396" spans="1:16">
      <c r="A396" s="2" t="s">
        <v>498</v>
      </c>
    </row>
    <row r="397" spans="1:16">
      <c r="A397" s="2" t="s">
        <v>502</v>
      </c>
    </row>
    <row r="398" spans="1:16">
      <c r="A398" s="2" t="s">
        <v>622</v>
      </c>
    </row>
    <row r="399" spans="1:16">
      <c r="A399" s="2" t="s">
        <v>623</v>
      </c>
    </row>
    <row r="400" spans="1:16">
      <c r="A400" s="2" t="s">
        <v>624</v>
      </c>
    </row>
    <row r="401" spans="1:1">
      <c r="A401" s="2" t="s">
        <v>625</v>
      </c>
    </row>
    <row r="402" spans="1:1">
      <c r="A402" s="2" t="s">
        <v>626</v>
      </c>
    </row>
    <row r="403" spans="1:1">
      <c r="A403" s="2" t="s">
        <v>627</v>
      </c>
    </row>
  </sheetData>
  <phoneticPr fontId="9" type="noConversion"/>
  <hyperlinks>
    <hyperlink ref="B126" r:id="rId1" display="cameron.smith@bennettday.org1111111111111111111111111111111111111111111111111111111111111111111111111111111111111111111111111111" xr:uid="{00000000-0004-0000-0000-000000000000}"/>
    <hyperlink ref="B127" r:id="rId2" xr:uid="{00000000-0004-0000-0000-00000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C64"/>
  <sheetViews>
    <sheetView showGridLines="0" workbookViewId="0">
      <selection activeCell="M28" sqref="M28"/>
    </sheetView>
  </sheetViews>
  <sheetFormatPr defaultRowHeight="15"/>
  <cols>
    <col min="1" max="1" width="24.85546875" customWidth="1"/>
  </cols>
  <sheetData>
    <row r="2" spans="1:3" s="78" customFormat="1">
      <c r="A2" s="78" t="s">
        <v>628</v>
      </c>
    </row>
    <row r="3" spans="1:3">
      <c r="A3" s="26" t="s">
        <v>629</v>
      </c>
    </row>
    <row r="4" spans="1:3">
      <c r="A4" t="s">
        <v>630</v>
      </c>
    </row>
    <row r="6" spans="1:3">
      <c r="A6" s="26" t="s">
        <v>631</v>
      </c>
    </row>
    <row r="7" spans="1:3">
      <c r="A7" t="s">
        <v>632</v>
      </c>
    </row>
    <row r="9" spans="1:3">
      <c r="A9" s="26" t="s">
        <v>633</v>
      </c>
    </row>
    <row r="10" spans="1:3">
      <c r="A10" t="s">
        <v>634</v>
      </c>
    </row>
    <row r="12" spans="1:3" s="78" customFormat="1">
      <c r="A12" s="78" t="s">
        <v>635</v>
      </c>
    </row>
    <row r="13" spans="1:3">
      <c r="A13" s="26" t="s">
        <v>636</v>
      </c>
    </row>
    <row r="14" spans="1:3">
      <c r="A14" t="s">
        <v>637</v>
      </c>
      <c r="B14" s="66"/>
      <c r="C14" t="s">
        <v>638</v>
      </c>
    </row>
    <row r="15" spans="1:3">
      <c r="A15" t="s">
        <v>639</v>
      </c>
      <c r="B15" s="54"/>
      <c r="C15" t="s">
        <v>640</v>
      </c>
    </row>
    <row r="16" spans="1:3">
      <c r="A16" t="s">
        <v>641</v>
      </c>
      <c r="B16" s="87"/>
      <c r="C16" t="s">
        <v>642</v>
      </c>
    </row>
    <row r="17" spans="1:3">
      <c r="A17" t="s">
        <v>643</v>
      </c>
      <c r="B17" s="108"/>
      <c r="C17" t="s">
        <v>644</v>
      </c>
    </row>
    <row r="18" spans="1:3">
      <c r="A18" t="s">
        <v>645</v>
      </c>
      <c r="B18" s="65"/>
      <c r="C18" t="s">
        <v>646</v>
      </c>
    </row>
    <row r="20" spans="1:3">
      <c r="A20" s="26" t="s">
        <v>647</v>
      </c>
    </row>
    <row r="21" spans="1:3">
      <c r="A21" t="s">
        <v>648</v>
      </c>
      <c r="B21">
        <v>50</v>
      </c>
    </row>
    <row r="22" spans="1:3">
      <c r="A22" t="s">
        <v>649</v>
      </c>
      <c r="B22">
        <v>50</v>
      </c>
    </row>
    <row r="23" spans="1:3">
      <c r="A23" t="s">
        <v>202</v>
      </c>
      <c r="B23">
        <v>10</v>
      </c>
    </row>
    <row r="24" spans="1:3">
      <c r="A24" t="s">
        <v>650</v>
      </c>
      <c r="B24">
        <v>15</v>
      </c>
    </row>
    <row r="25" spans="1:3">
      <c r="A25" t="s">
        <v>651</v>
      </c>
      <c r="B25">
        <v>30</v>
      </c>
    </row>
    <row r="26" spans="1:3">
      <c r="A26" t="s">
        <v>652</v>
      </c>
      <c r="B26">
        <v>30</v>
      </c>
    </row>
    <row r="27" spans="1:3">
      <c r="A27" t="s">
        <v>653</v>
      </c>
      <c r="B27">
        <v>30</v>
      </c>
    </row>
    <row r="28" spans="1:3">
      <c r="A28" t="s">
        <v>654</v>
      </c>
      <c r="B28" t="s">
        <v>655</v>
      </c>
    </row>
    <row r="30" spans="1:3" s="78" customFormat="1">
      <c r="A30" s="78" t="s">
        <v>656</v>
      </c>
    </row>
    <row r="31" spans="1:3">
      <c r="A31" s="26" t="s">
        <v>636</v>
      </c>
    </row>
    <row r="32" spans="1:3">
      <c r="A32" t="s">
        <v>648</v>
      </c>
      <c r="B32" s="66"/>
      <c r="C32" t="s">
        <v>638</v>
      </c>
    </row>
    <row r="34" spans="1:3">
      <c r="A34" s="26" t="s">
        <v>647</v>
      </c>
    </row>
    <row r="35" spans="1:3">
      <c r="A35" t="s">
        <v>657</v>
      </c>
      <c r="B35">
        <v>50</v>
      </c>
    </row>
    <row r="37" spans="1:3" s="78" customFormat="1">
      <c r="A37" s="78" t="s">
        <v>658</v>
      </c>
    </row>
    <row r="38" spans="1:3">
      <c r="A38" s="26" t="s">
        <v>636</v>
      </c>
    </row>
    <row r="39" spans="1:3">
      <c r="A39" t="s">
        <v>659</v>
      </c>
      <c r="B39" s="108"/>
      <c r="C39" t="s">
        <v>644</v>
      </c>
    </row>
    <row r="40" spans="1:3">
      <c r="A40" t="s">
        <v>162</v>
      </c>
      <c r="B40" s="65"/>
      <c r="C40" t="s">
        <v>646</v>
      </c>
    </row>
    <row r="42" spans="1:3">
      <c r="A42" s="26" t="s">
        <v>647</v>
      </c>
    </row>
    <row r="43" spans="1:3">
      <c r="A43" t="s">
        <v>655</v>
      </c>
    </row>
    <row r="45" spans="1:3" s="78" customFormat="1">
      <c r="A45" s="78" t="s">
        <v>660</v>
      </c>
    </row>
    <row r="46" spans="1:3">
      <c r="A46" s="26" t="s">
        <v>636</v>
      </c>
    </row>
    <row r="47" spans="1:3">
      <c r="A47" t="s">
        <v>649</v>
      </c>
      <c r="B47" s="54"/>
      <c r="C47" t="s">
        <v>640</v>
      </c>
    </row>
    <row r="48" spans="1:3">
      <c r="A48" t="s">
        <v>648</v>
      </c>
      <c r="B48" s="66"/>
      <c r="C48" t="s">
        <v>638</v>
      </c>
    </row>
    <row r="50" spans="1:3">
      <c r="A50" s="26" t="s">
        <v>647</v>
      </c>
    </row>
    <row r="51" spans="1:3">
      <c r="A51" t="s">
        <v>661</v>
      </c>
      <c r="B51">
        <v>50</v>
      </c>
    </row>
    <row r="52" spans="1:3">
      <c r="A52" t="s">
        <v>662</v>
      </c>
      <c r="B52">
        <v>50</v>
      </c>
    </row>
    <row r="53" spans="1:3">
      <c r="A53" t="s">
        <v>654</v>
      </c>
      <c r="B53">
        <v>30</v>
      </c>
    </row>
    <row r="55" spans="1:3" s="78" customFormat="1">
      <c r="A55" s="78" t="s">
        <v>663</v>
      </c>
    </row>
    <row r="56" spans="1:3">
      <c r="A56" s="26" t="s">
        <v>636</v>
      </c>
    </row>
    <row r="57" spans="1:3">
      <c r="A57" t="s">
        <v>649</v>
      </c>
      <c r="B57" s="54"/>
      <c r="C57" t="s">
        <v>640</v>
      </c>
    </row>
    <row r="58" spans="1:3">
      <c r="A58" t="s">
        <v>648</v>
      </c>
      <c r="B58" s="66"/>
      <c r="C58" t="s">
        <v>638</v>
      </c>
    </row>
    <row r="59" spans="1:3">
      <c r="A59" t="s">
        <v>664</v>
      </c>
      <c r="B59" s="65"/>
      <c r="C59" t="s">
        <v>646</v>
      </c>
    </row>
    <row r="61" spans="1:3">
      <c r="A61" s="26" t="s">
        <v>647</v>
      </c>
    </row>
    <row r="62" spans="1:3">
      <c r="A62" t="s">
        <v>661</v>
      </c>
      <c r="B62">
        <v>50</v>
      </c>
    </row>
    <row r="63" spans="1:3">
      <c r="A63" t="s">
        <v>662</v>
      </c>
      <c r="B63">
        <v>15</v>
      </c>
    </row>
    <row r="64" spans="1:3">
      <c r="A64" t="s">
        <v>654</v>
      </c>
      <c r="B64">
        <v>30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Approach_V3.main">
                <anchor moveWithCells="1" sizeWithCells="1">
                  <from>
                    <xdr:col>6</xdr:col>
                    <xdr:colOff>590550</xdr:colOff>
                    <xdr:row>2</xdr:row>
                    <xdr:rowOff>123825</xdr:rowOff>
                  </from>
                  <to>
                    <xdr:col>9</xdr:col>
                    <xdr:colOff>133350</xdr:colOff>
                    <xdr:row>5</xdr:row>
                    <xdr:rowOff>9525</xdr:rowOff>
                  </to>
                </anchor>
              </controlPr>
            </control>
          </mc:Choice>
        </mc:AlternateContent>
        <mc:AlternateContent xmlns:mc="http://schemas.openxmlformats.org/markup-compatibility/2006">
          <mc:Choice Requires="x14">
            <control shapeId="23554" r:id="rId5" name="Button 2">
              <controlPr defaultSize="0" print="0" autoFill="0" autoPict="0" macro="[0]!auditConfig">
                <anchor moveWithCells="1" sizeWithCells="1">
                  <from>
                    <xdr:col>10</xdr:col>
                    <xdr:colOff>123825</xdr:colOff>
                    <xdr:row>2</xdr:row>
                    <xdr:rowOff>123825</xdr:rowOff>
                  </from>
                  <to>
                    <xdr:col>12</xdr:col>
                    <xdr:colOff>276225</xdr:colOff>
                    <xdr:row>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AQ217"/>
  <sheetViews>
    <sheetView showGridLines="0" zoomScale="80" zoomScaleNormal="80" workbookViewId="0">
      <pane ySplit="1" topLeftCell="A2" activePane="bottomLeft" state="frozen"/>
      <selection pane="bottomLeft" activeCell="K22" sqref="K22"/>
    </sheetView>
  </sheetViews>
  <sheetFormatPr defaultColWidth="30.7109375" defaultRowHeight="15"/>
  <cols>
    <col min="1" max="1" width="30.7109375" style="82" customWidth="1"/>
    <col min="2" max="2" width="50.7109375" style="14" customWidth="1"/>
    <col min="3" max="3" width="19.42578125" style="14" bestFit="1" customWidth="1"/>
    <col min="4" max="4" width="15.7109375" style="14" customWidth="1"/>
    <col min="5" max="5" width="10.7109375" style="14" customWidth="1"/>
    <col min="6" max="6" width="15.7109375" style="14" customWidth="1"/>
    <col min="7" max="7" width="14.28515625" style="14" customWidth="1"/>
    <col min="8" max="9" width="11.42578125" style="14" customWidth="1"/>
    <col min="10" max="10" width="10.28515625" style="14" customWidth="1"/>
    <col min="11" max="12" width="15.7109375" style="14" customWidth="1"/>
    <col min="13" max="26" width="0.85546875" style="14" customWidth="1"/>
    <col min="27" max="28" width="30.7109375" style="14" customWidth="1"/>
    <col min="29" max="29" width="50.7109375" style="14" customWidth="1"/>
    <col min="30" max="30" width="10.7109375" style="14" customWidth="1"/>
    <col min="31" max="31" width="11.5703125" style="14" customWidth="1"/>
    <col min="32" max="32" width="15.7109375" style="14" customWidth="1"/>
    <col min="33" max="33" width="13.7109375" style="14" customWidth="1"/>
    <col min="34" max="35" width="11.42578125" style="14" customWidth="1"/>
    <col min="36" max="36" width="10.28515625" style="14" bestFit="1" customWidth="1"/>
    <col min="37" max="37" width="12.42578125" style="14" bestFit="1" customWidth="1"/>
    <col min="38" max="38" width="34.5703125" style="14" bestFit="1" customWidth="1"/>
    <col min="39" max="40" width="15.7109375" style="14" customWidth="1"/>
    <col min="41" max="41" width="17.85546875" style="14" bestFit="1" customWidth="1"/>
    <col min="42" max="42" width="12.7109375" style="14" bestFit="1" customWidth="1"/>
    <col min="43" max="43" width="9.28515625" style="131" bestFit="1" customWidth="1"/>
    <col min="44" max="16384" width="30.7109375" style="14"/>
  </cols>
  <sheetData>
    <row r="1" spans="1:43" s="81" customFormat="1" ht="44.25" customHeight="1">
      <c r="A1" s="132" t="s">
        <v>648</v>
      </c>
      <c r="B1" s="132"/>
      <c r="C1" s="132"/>
      <c r="D1" s="132"/>
      <c r="E1" s="132"/>
      <c r="F1" s="132"/>
      <c r="G1" s="132"/>
      <c r="H1" s="132"/>
      <c r="I1" s="132"/>
      <c r="J1" s="132"/>
      <c r="K1" s="132"/>
      <c r="L1" s="133"/>
      <c r="M1" s="95"/>
      <c r="N1" s="83"/>
      <c r="O1" s="83"/>
      <c r="P1" s="83"/>
      <c r="Q1" s="83"/>
      <c r="R1" s="83"/>
      <c r="S1" s="83"/>
      <c r="T1" s="83"/>
      <c r="U1" s="83"/>
      <c r="V1" s="83"/>
      <c r="W1" s="83"/>
      <c r="X1" s="83"/>
      <c r="Y1" s="83"/>
      <c r="Z1" s="83"/>
      <c r="AA1" s="134" t="s">
        <v>649</v>
      </c>
      <c r="AB1" s="134"/>
      <c r="AC1" s="134"/>
      <c r="AD1" s="134"/>
      <c r="AE1" s="134"/>
      <c r="AF1" s="134"/>
      <c r="AG1" s="134"/>
      <c r="AH1" s="134"/>
      <c r="AI1" s="134"/>
      <c r="AJ1" s="134"/>
      <c r="AK1" s="134"/>
      <c r="AL1" s="134"/>
      <c r="AM1" s="134"/>
      <c r="AN1" s="134"/>
      <c r="AO1" s="134"/>
      <c r="AP1" s="134"/>
      <c r="AQ1" s="134"/>
    </row>
    <row r="2" spans="1:43" s="71" customFormat="1" ht="45">
      <c r="A2" s="115" t="s">
        <v>651</v>
      </c>
      <c r="B2" s="115" t="s">
        <v>648</v>
      </c>
      <c r="C2" s="116" t="s">
        <v>665</v>
      </c>
      <c r="D2" s="115" t="s">
        <v>650</v>
      </c>
      <c r="E2" s="115" t="s">
        <v>202</v>
      </c>
      <c r="F2" s="115" t="s">
        <v>666</v>
      </c>
      <c r="G2" s="115" t="s">
        <v>667</v>
      </c>
      <c r="H2" s="115" t="s">
        <v>1689</v>
      </c>
      <c r="I2" s="115" t="s">
        <v>668</v>
      </c>
      <c r="J2" s="115" t="s">
        <v>669</v>
      </c>
      <c r="K2" s="115" t="s">
        <v>670</v>
      </c>
      <c r="L2" s="117" t="s">
        <v>671</v>
      </c>
      <c r="M2" s="96"/>
      <c r="N2" s="68"/>
      <c r="O2" s="68"/>
      <c r="P2" s="68"/>
      <c r="Q2" s="68"/>
      <c r="R2" s="68"/>
      <c r="S2" s="68"/>
      <c r="T2" s="68"/>
      <c r="U2" s="68"/>
      <c r="V2" s="68"/>
      <c r="W2" s="68"/>
      <c r="X2" s="68"/>
      <c r="Y2" s="68"/>
      <c r="Z2" s="68"/>
      <c r="AA2" s="115" t="s">
        <v>652</v>
      </c>
      <c r="AB2" s="115" t="s">
        <v>653</v>
      </c>
      <c r="AC2" s="116" t="s">
        <v>649</v>
      </c>
      <c r="AD2" s="116" t="s">
        <v>202</v>
      </c>
      <c r="AE2" s="115" t="s">
        <v>667</v>
      </c>
      <c r="AF2" s="115" t="s">
        <v>666</v>
      </c>
      <c r="AG2" s="115" t="s">
        <v>672</v>
      </c>
      <c r="AH2" s="115" t="s">
        <v>1689</v>
      </c>
      <c r="AI2" s="115" t="s">
        <v>668</v>
      </c>
      <c r="AJ2" s="115" t="s">
        <v>669</v>
      </c>
      <c r="AK2" s="115" t="s">
        <v>673</v>
      </c>
      <c r="AL2" s="115" t="s">
        <v>674</v>
      </c>
      <c r="AM2" s="115" t="s">
        <v>675</v>
      </c>
      <c r="AN2" s="115" t="s">
        <v>676</v>
      </c>
      <c r="AO2" s="115" t="s">
        <v>677</v>
      </c>
      <c r="AP2" s="110" t="s">
        <v>678</v>
      </c>
      <c r="AQ2" s="118" t="s">
        <v>679</v>
      </c>
    </row>
    <row r="3" spans="1:43" ht="30">
      <c r="A3" s="64" t="s">
        <v>680</v>
      </c>
      <c r="B3" s="64" t="s">
        <v>1</v>
      </c>
      <c r="C3" s="64"/>
      <c r="D3" s="64" t="s">
        <v>681</v>
      </c>
      <c r="E3" s="64" t="s">
        <v>682</v>
      </c>
      <c r="F3" s="64"/>
      <c r="G3" s="88"/>
      <c r="H3" s="88">
        <v>220</v>
      </c>
      <c r="I3" s="88">
        <v>280</v>
      </c>
      <c r="J3" s="88"/>
      <c r="K3" s="89" t="s">
        <v>34</v>
      </c>
      <c r="L3" s="101" t="s">
        <v>34</v>
      </c>
      <c r="M3" s="97"/>
      <c r="N3" s="64"/>
      <c r="O3" s="64"/>
      <c r="P3" s="64"/>
      <c r="Q3" s="64"/>
      <c r="R3" s="64"/>
      <c r="S3" s="64"/>
      <c r="T3" s="64"/>
      <c r="U3" s="64"/>
      <c r="V3" s="64"/>
      <c r="W3" s="64"/>
      <c r="X3" s="64"/>
      <c r="Y3" s="64"/>
      <c r="Z3" s="64"/>
      <c r="AA3" s="64" t="s">
        <v>683</v>
      </c>
      <c r="AB3" s="64" t="s">
        <v>684</v>
      </c>
      <c r="AC3" s="64" t="s">
        <v>685</v>
      </c>
      <c r="AD3" s="64" t="s">
        <v>686</v>
      </c>
      <c r="AE3" s="64"/>
      <c r="AF3" s="64"/>
      <c r="AG3" s="64" t="b">
        <v>1</v>
      </c>
      <c r="AH3" s="88">
        <v>220</v>
      </c>
      <c r="AI3" s="88">
        <v>400</v>
      </c>
      <c r="AJ3" s="88" t="b">
        <v>1</v>
      </c>
      <c r="AK3" s="64"/>
      <c r="AL3" s="64"/>
      <c r="AM3" s="64"/>
      <c r="AN3" s="64"/>
      <c r="AO3" s="64"/>
      <c r="AP3" s="64"/>
      <c r="AQ3" s="119" t="s">
        <v>687</v>
      </c>
    </row>
    <row r="4" spans="1:43" ht="30">
      <c r="A4" s="64" t="s">
        <v>680</v>
      </c>
      <c r="B4" s="64" t="s">
        <v>1</v>
      </c>
      <c r="C4" s="64"/>
      <c r="D4" s="64" t="s">
        <v>681</v>
      </c>
      <c r="E4" s="64" t="s">
        <v>682</v>
      </c>
      <c r="F4" s="64"/>
      <c r="G4" s="88"/>
      <c r="H4" s="88">
        <v>220</v>
      </c>
      <c r="I4" s="88">
        <v>280</v>
      </c>
      <c r="J4" s="88" t="b">
        <v>1</v>
      </c>
      <c r="K4" s="89" t="s">
        <v>34</v>
      </c>
      <c r="L4" s="101" t="s">
        <v>34</v>
      </c>
      <c r="M4" s="97"/>
      <c r="N4" s="64"/>
      <c r="O4" s="64"/>
      <c r="P4" s="64"/>
      <c r="Q4" s="64"/>
      <c r="R4" s="64"/>
      <c r="S4" s="64"/>
      <c r="T4" s="64"/>
      <c r="U4" s="64"/>
      <c r="V4" s="64"/>
      <c r="W4" s="64"/>
      <c r="X4" s="64"/>
      <c r="Y4" s="64"/>
      <c r="Z4" s="64"/>
      <c r="AA4" s="64" t="s">
        <v>683</v>
      </c>
      <c r="AB4" s="64" t="s">
        <v>684</v>
      </c>
      <c r="AC4" s="64" t="s">
        <v>688</v>
      </c>
      <c r="AD4" s="64" t="s">
        <v>686</v>
      </c>
      <c r="AE4" s="64"/>
      <c r="AF4" s="64"/>
      <c r="AG4" s="64" t="b">
        <v>1</v>
      </c>
      <c r="AH4" s="88">
        <v>220</v>
      </c>
      <c r="AI4" s="88">
        <v>280</v>
      </c>
      <c r="AJ4" s="88" t="b">
        <v>1</v>
      </c>
      <c r="AK4" s="64"/>
      <c r="AL4" s="64" t="s">
        <v>689</v>
      </c>
      <c r="AM4" s="64"/>
      <c r="AN4" s="64"/>
      <c r="AO4" s="64" t="s">
        <v>690</v>
      </c>
      <c r="AP4" s="64"/>
      <c r="AQ4" s="119"/>
    </row>
    <row r="5" spans="1:43">
      <c r="A5" s="64" t="s">
        <v>166</v>
      </c>
      <c r="B5" s="64" t="s">
        <v>166</v>
      </c>
      <c r="C5" s="64"/>
      <c r="D5" s="64" t="s">
        <v>166</v>
      </c>
      <c r="E5" s="64"/>
      <c r="F5" s="64"/>
      <c r="G5" s="64"/>
      <c r="H5" s="64"/>
      <c r="I5" s="64"/>
      <c r="J5" s="64"/>
      <c r="K5" s="89" t="s">
        <v>34</v>
      </c>
      <c r="L5" s="101" t="s">
        <v>34</v>
      </c>
      <c r="M5" s="97"/>
      <c r="N5" s="64"/>
      <c r="O5" s="64"/>
      <c r="P5" s="64"/>
      <c r="Q5" s="64"/>
      <c r="R5" s="64"/>
      <c r="S5" s="64"/>
      <c r="T5" s="64"/>
      <c r="U5" s="64"/>
      <c r="V5" s="64"/>
      <c r="W5" s="64"/>
      <c r="X5" s="64"/>
      <c r="Y5" s="64"/>
      <c r="Z5" s="64"/>
      <c r="AA5" s="64" t="s">
        <v>691</v>
      </c>
      <c r="AB5" s="64" t="s">
        <v>692</v>
      </c>
      <c r="AC5" s="64" t="s">
        <v>693</v>
      </c>
      <c r="AD5" s="64" t="s">
        <v>694</v>
      </c>
      <c r="AE5" s="64"/>
      <c r="AF5" s="64"/>
      <c r="AG5" s="64" t="b">
        <v>0</v>
      </c>
      <c r="AH5" s="64">
        <v>220</v>
      </c>
      <c r="AI5" s="64">
        <v>16</v>
      </c>
      <c r="AJ5" s="88" t="b">
        <v>1</v>
      </c>
      <c r="AK5" s="64"/>
      <c r="AL5" s="64"/>
      <c r="AM5" s="64"/>
      <c r="AN5" s="64"/>
      <c r="AO5" s="64"/>
      <c r="AP5" s="64"/>
      <c r="AQ5" s="119"/>
    </row>
    <row r="6" spans="1:43">
      <c r="A6" s="64" t="s">
        <v>166</v>
      </c>
      <c r="B6" s="64" t="s">
        <v>166</v>
      </c>
      <c r="C6" s="64"/>
      <c r="D6" s="64" t="s">
        <v>166</v>
      </c>
      <c r="E6" s="64"/>
      <c r="F6" s="64"/>
      <c r="G6" s="64"/>
      <c r="H6" s="64"/>
      <c r="I6" s="64"/>
      <c r="J6" s="64"/>
      <c r="K6" s="89" t="s">
        <v>34</v>
      </c>
      <c r="L6" s="101" t="s">
        <v>34</v>
      </c>
      <c r="M6" s="97"/>
      <c r="N6" s="64"/>
      <c r="O6" s="64"/>
      <c r="P6" s="64"/>
      <c r="Q6" s="64"/>
      <c r="R6" s="64"/>
      <c r="S6" s="64"/>
      <c r="T6" s="64"/>
      <c r="U6" s="64"/>
      <c r="V6" s="64"/>
      <c r="W6" s="64"/>
      <c r="X6" s="64"/>
      <c r="Y6" s="64"/>
      <c r="Z6" s="64"/>
      <c r="AA6" s="64" t="s">
        <v>691</v>
      </c>
      <c r="AB6" s="64" t="s">
        <v>692</v>
      </c>
      <c r="AC6" s="64" t="s">
        <v>697</v>
      </c>
      <c r="AD6" s="64" t="s">
        <v>694</v>
      </c>
      <c r="AE6" s="64"/>
      <c r="AF6" s="64"/>
      <c r="AG6" s="64" t="b">
        <v>0</v>
      </c>
      <c r="AH6" s="64">
        <v>220</v>
      </c>
      <c r="AI6" s="64">
        <v>16</v>
      </c>
      <c r="AJ6" s="88" t="b">
        <v>1</v>
      </c>
      <c r="AK6" s="64"/>
      <c r="AL6" s="64"/>
      <c r="AM6" s="64"/>
      <c r="AN6" s="64"/>
      <c r="AO6" s="64"/>
      <c r="AP6" s="64"/>
      <c r="AQ6" s="119"/>
    </row>
    <row r="7" spans="1:43">
      <c r="A7" s="64" t="s">
        <v>698</v>
      </c>
      <c r="B7" s="64" t="s">
        <v>56</v>
      </c>
      <c r="C7" s="64"/>
      <c r="D7" s="64" t="s">
        <v>681</v>
      </c>
      <c r="E7" s="64" t="s">
        <v>686</v>
      </c>
      <c r="F7" s="64"/>
      <c r="G7" s="64" t="s">
        <v>699</v>
      </c>
      <c r="H7" s="88">
        <v>220</v>
      </c>
      <c r="I7" s="88">
        <v>400</v>
      </c>
      <c r="J7" s="64"/>
      <c r="K7" s="89" t="s">
        <v>105</v>
      </c>
      <c r="L7" s="101" t="s">
        <v>34</v>
      </c>
      <c r="M7" s="97"/>
      <c r="N7" s="64"/>
      <c r="O7" s="64"/>
      <c r="P7" s="64"/>
      <c r="Q7" s="64"/>
      <c r="R7" s="64"/>
      <c r="S7" s="64"/>
      <c r="T7" s="64"/>
      <c r="U7" s="64"/>
      <c r="V7" s="64"/>
      <c r="W7" s="64"/>
      <c r="X7" s="64"/>
      <c r="Y7" s="64"/>
      <c r="Z7" s="64"/>
      <c r="AA7" s="64" t="s">
        <v>691</v>
      </c>
      <c r="AB7" s="64" t="s">
        <v>692</v>
      </c>
      <c r="AC7" s="64" t="s">
        <v>700</v>
      </c>
      <c r="AD7" s="64" t="s">
        <v>686</v>
      </c>
      <c r="AE7" s="64"/>
      <c r="AF7" s="64"/>
      <c r="AG7" s="64" t="b">
        <v>1</v>
      </c>
      <c r="AH7" s="88">
        <v>220</v>
      </c>
      <c r="AI7" s="88">
        <v>400</v>
      </c>
      <c r="AJ7" s="88" t="b">
        <v>1</v>
      </c>
      <c r="AK7" s="64"/>
      <c r="AL7" s="64" t="s">
        <v>1666</v>
      </c>
      <c r="AM7" s="64">
        <v>1</v>
      </c>
      <c r="AN7" s="64">
        <v>9</v>
      </c>
      <c r="AO7" s="64"/>
      <c r="AP7" s="64"/>
      <c r="AQ7" s="119" t="s">
        <v>701</v>
      </c>
    </row>
    <row r="8" spans="1:43">
      <c r="A8" s="64" t="s">
        <v>698</v>
      </c>
      <c r="B8" s="64" t="s">
        <v>31</v>
      </c>
      <c r="C8" s="64"/>
      <c r="D8" s="64" t="s">
        <v>681</v>
      </c>
      <c r="E8" s="64" t="s">
        <v>686</v>
      </c>
      <c r="F8" s="64"/>
      <c r="G8" s="64"/>
      <c r="H8" s="88">
        <v>220</v>
      </c>
      <c r="I8" s="88">
        <v>280</v>
      </c>
      <c r="J8" s="64"/>
      <c r="K8" s="89" t="s">
        <v>34</v>
      </c>
      <c r="L8" s="101" t="s">
        <v>702</v>
      </c>
      <c r="M8" s="97"/>
      <c r="N8" s="64"/>
      <c r="O8" s="64"/>
      <c r="P8" s="64"/>
      <c r="Q8" s="64"/>
      <c r="R8" s="64"/>
      <c r="S8" s="64"/>
      <c r="T8" s="64"/>
      <c r="U8" s="64"/>
      <c r="V8" s="64"/>
      <c r="W8" s="64"/>
      <c r="X8" s="64"/>
      <c r="Y8" s="64"/>
      <c r="Z8" s="64"/>
      <c r="AA8" s="64" t="s">
        <v>691</v>
      </c>
      <c r="AB8" s="64" t="s">
        <v>692</v>
      </c>
      <c r="AC8" s="64" t="s">
        <v>703</v>
      </c>
      <c r="AD8" s="64" t="s">
        <v>686</v>
      </c>
      <c r="AE8" s="64"/>
      <c r="AF8" s="64"/>
      <c r="AG8" s="64" t="b">
        <v>1</v>
      </c>
      <c r="AH8" s="88">
        <v>220</v>
      </c>
      <c r="AI8" s="88">
        <v>280</v>
      </c>
      <c r="AJ8" s="88" t="b">
        <v>1</v>
      </c>
      <c r="AK8" s="64"/>
      <c r="AL8" s="64" t="s">
        <v>704</v>
      </c>
      <c r="AM8" s="64">
        <v>1</v>
      </c>
      <c r="AN8" s="64">
        <v>20</v>
      </c>
      <c r="AO8" s="64" t="s">
        <v>690</v>
      </c>
      <c r="AP8" s="64"/>
      <c r="AQ8" s="119" t="s">
        <v>705</v>
      </c>
    </row>
    <row r="9" spans="1:43">
      <c r="A9" s="84" t="s">
        <v>698</v>
      </c>
      <c r="B9" s="84" t="s">
        <v>27</v>
      </c>
      <c r="C9" s="84"/>
      <c r="D9" s="84" t="s">
        <v>681</v>
      </c>
      <c r="E9" s="84" t="s">
        <v>686</v>
      </c>
      <c r="F9" s="84"/>
      <c r="G9" s="84"/>
      <c r="H9" s="90">
        <v>220</v>
      </c>
      <c r="I9" s="90">
        <v>280</v>
      </c>
      <c r="J9" s="84"/>
      <c r="K9" s="91" t="s">
        <v>34</v>
      </c>
      <c r="L9" s="102" t="s">
        <v>702</v>
      </c>
      <c r="M9" s="98"/>
      <c r="N9" s="84"/>
      <c r="O9" s="84"/>
      <c r="P9" s="84"/>
      <c r="Q9" s="84"/>
      <c r="R9" s="84"/>
      <c r="S9" s="84"/>
      <c r="T9" s="84"/>
      <c r="U9" s="84"/>
      <c r="V9" s="84"/>
      <c r="W9" s="84"/>
      <c r="X9" s="84"/>
      <c r="Y9" s="84"/>
      <c r="Z9" s="84"/>
      <c r="AA9" s="84" t="s">
        <v>691</v>
      </c>
      <c r="AB9" s="84" t="s">
        <v>692</v>
      </c>
      <c r="AC9" s="84" t="s">
        <v>706</v>
      </c>
      <c r="AD9" s="84" t="s">
        <v>686</v>
      </c>
      <c r="AE9" s="84"/>
      <c r="AF9" s="84"/>
      <c r="AG9" s="84" t="b">
        <v>1</v>
      </c>
      <c r="AH9" s="90">
        <v>220</v>
      </c>
      <c r="AI9" s="90">
        <v>280</v>
      </c>
      <c r="AJ9" s="90" t="b">
        <v>1</v>
      </c>
      <c r="AK9" s="84"/>
      <c r="AL9" s="84" t="s">
        <v>704</v>
      </c>
      <c r="AM9" s="84">
        <v>1</v>
      </c>
      <c r="AN9" s="84">
        <v>20</v>
      </c>
      <c r="AO9" s="84" t="s">
        <v>690</v>
      </c>
      <c r="AP9" s="84"/>
      <c r="AQ9" s="120" t="s">
        <v>707</v>
      </c>
    </row>
    <row r="10" spans="1:43">
      <c r="A10" s="84" t="s">
        <v>716</v>
      </c>
      <c r="B10" s="84" t="s">
        <v>708</v>
      </c>
      <c r="C10" s="84"/>
      <c r="D10" s="84" t="s">
        <v>681</v>
      </c>
      <c r="E10" s="84" t="s">
        <v>709</v>
      </c>
      <c r="F10" s="84"/>
      <c r="G10" s="84" t="s">
        <v>710</v>
      </c>
      <c r="H10" s="84">
        <v>220</v>
      </c>
      <c r="I10" s="84">
        <v>200</v>
      </c>
      <c r="J10" s="84"/>
      <c r="K10" s="91" t="s">
        <v>34</v>
      </c>
      <c r="L10" s="102" t="s">
        <v>34</v>
      </c>
      <c r="M10" s="98"/>
      <c r="N10" s="84"/>
      <c r="O10" s="84"/>
      <c r="P10" s="84"/>
      <c r="Q10" s="84"/>
      <c r="R10" s="84"/>
      <c r="S10" s="84"/>
      <c r="T10" s="84"/>
      <c r="U10" s="84"/>
      <c r="V10" s="84"/>
      <c r="W10" s="84"/>
      <c r="X10" s="84"/>
      <c r="Y10" s="84"/>
      <c r="Z10" s="84"/>
      <c r="AA10" s="84" t="s">
        <v>711</v>
      </c>
      <c r="AB10" s="84" t="s">
        <v>712</v>
      </c>
      <c r="AC10" s="84" t="s">
        <v>713</v>
      </c>
      <c r="AD10" s="84" t="s">
        <v>686</v>
      </c>
      <c r="AE10" s="84"/>
      <c r="AF10" s="84"/>
      <c r="AG10" s="84" t="b">
        <v>1</v>
      </c>
      <c r="AH10" s="84">
        <v>220</v>
      </c>
      <c r="AI10" s="90">
        <v>400</v>
      </c>
      <c r="AJ10" s="90" t="b">
        <v>1</v>
      </c>
      <c r="AK10" s="84" t="s">
        <v>714</v>
      </c>
      <c r="AL10" s="84"/>
      <c r="AM10" s="84"/>
      <c r="AN10" s="84"/>
      <c r="AO10" s="84"/>
      <c r="AP10" s="84"/>
      <c r="AQ10" s="120" t="s">
        <v>715</v>
      </c>
    </row>
    <row r="11" spans="1:43">
      <c r="A11" s="84" t="s">
        <v>716</v>
      </c>
      <c r="B11" s="86" t="s">
        <v>166</v>
      </c>
      <c r="C11" s="86"/>
      <c r="D11" s="86" t="s">
        <v>681</v>
      </c>
      <c r="E11" s="86" t="s">
        <v>686</v>
      </c>
      <c r="F11" s="86"/>
      <c r="G11" s="92"/>
      <c r="H11" s="92">
        <v>220</v>
      </c>
      <c r="I11" s="92"/>
      <c r="J11" s="92"/>
      <c r="K11" s="93" t="s">
        <v>34</v>
      </c>
      <c r="L11" s="103" t="s">
        <v>34</v>
      </c>
      <c r="M11" s="99"/>
      <c r="N11" s="86"/>
      <c r="O11" s="86"/>
      <c r="P11" s="86"/>
      <c r="Q11" s="86"/>
      <c r="R11" s="86"/>
      <c r="S11" s="86"/>
      <c r="T11" s="86"/>
      <c r="U11" s="86"/>
      <c r="V11" s="86"/>
      <c r="W11" s="86"/>
      <c r="X11" s="86"/>
      <c r="Y11" s="86"/>
      <c r="Z11" s="86"/>
      <c r="AA11" s="86"/>
      <c r="AB11" s="86"/>
      <c r="AC11" s="86"/>
      <c r="AD11" s="86"/>
      <c r="AE11" s="86"/>
      <c r="AF11" s="86"/>
      <c r="AG11" s="86"/>
      <c r="AH11" s="92"/>
      <c r="AI11" s="92"/>
      <c r="AJ11" s="92"/>
      <c r="AK11" s="86"/>
      <c r="AL11" s="86"/>
      <c r="AM11" s="86"/>
      <c r="AN11" s="86"/>
      <c r="AO11" s="86"/>
      <c r="AP11" s="86"/>
      <c r="AQ11" s="121"/>
    </row>
    <row r="12" spans="1:43">
      <c r="A12" s="84" t="s">
        <v>716</v>
      </c>
      <c r="B12" s="86" t="s">
        <v>166</v>
      </c>
      <c r="C12" s="86"/>
      <c r="D12" s="85" t="s">
        <v>681</v>
      </c>
      <c r="E12" s="86" t="s">
        <v>686</v>
      </c>
      <c r="F12" s="86"/>
      <c r="G12" s="92"/>
      <c r="H12" s="92">
        <v>220</v>
      </c>
      <c r="I12" s="92"/>
      <c r="J12" s="92"/>
      <c r="K12" s="93" t="s">
        <v>34</v>
      </c>
      <c r="L12" s="103" t="s">
        <v>34</v>
      </c>
      <c r="M12" s="99"/>
      <c r="N12" s="86"/>
      <c r="O12" s="86"/>
      <c r="P12" s="86"/>
      <c r="Q12" s="86"/>
      <c r="R12" s="86"/>
      <c r="S12" s="86"/>
      <c r="T12" s="86"/>
      <c r="U12" s="86"/>
      <c r="V12" s="86"/>
      <c r="W12" s="86"/>
      <c r="X12" s="86"/>
      <c r="Y12" s="86"/>
      <c r="Z12" s="86"/>
      <c r="AA12" s="86"/>
      <c r="AB12" s="86"/>
      <c r="AC12" s="86"/>
      <c r="AD12" s="86"/>
      <c r="AE12" s="86"/>
      <c r="AF12" s="86"/>
      <c r="AG12" s="86"/>
      <c r="AH12" s="92"/>
      <c r="AI12" s="92"/>
      <c r="AJ12" s="92"/>
      <c r="AK12" s="86"/>
      <c r="AL12" s="86"/>
      <c r="AM12" s="86"/>
      <c r="AN12" s="86"/>
      <c r="AO12" s="86"/>
      <c r="AP12" s="86"/>
      <c r="AQ12" s="121"/>
    </row>
    <row r="13" spans="1:43">
      <c r="A13" s="84" t="s">
        <v>716</v>
      </c>
      <c r="B13" s="86" t="s">
        <v>717</v>
      </c>
      <c r="C13" s="86"/>
      <c r="D13" s="85" t="s">
        <v>681</v>
      </c>
      <c r="E13" s="86" t="s">
        <v>709</v>
      </c>
      <c r="F13" s="86"/>
      <c r="G13" s="86" t="s">
        <v>710</v>
      </c>
      <c r="H13" s="86">
        <v>220</v>
      </c>
      <c r="I13" s="86">
        <v>200</v>
      </c>
      <c r="J13" s="86"/>
      <c r="K13" s="86"/>
      <c r="L13" s="104"/>
      <c r="M13" s="99"/>
      <c r="N13" s="86"/>
      <c r="O13" s="86"/>
      <c r="P13" s="86"/>
      <c r="Q13" s="86"/>
      <c r="R13" s="86"/>
      <c r="S13" s="86"/>
      <c r="T13" s="86"/>
      <c r="U13" s="86"/>
      <c r="V13" s="86"/>
      <c r="W13" s="86"/>
      <c r="X13" s="86"/>
      <c r="Y13" s="86"/>
      <c r="Z13" s="86"/>
      <c r="AA13" s="86"/>
      <c r="AB13" s="86"/>
      <c r="AC13" s="86"/>
      <c r="AD13" s="86"/>
      <c r="AE13" s="86"/>
      <c r="AF13" s="86"/>
      <c r="AG13" s="86"/>
      <c r="AH13" s="86"/>
      <c r="AI13" s="86"/>
      <c r="AJ13" s="86"/>
      <c r="AK13" s="86"/>
      <c r="AL13" s="86"/>
      <c r="AM13" s="86"/>
      <c r="AN13" s="86"/>
      <c r="AO13" s="86"/>
      <c r="AP13" s="86"/>
      <c r="AQ13" s="121"/>
    </row>
    <row r="14" spans="1:43">
      <c r="A14" s="84" t="s">
        <v>716</v>
      </c>
      <c r="B14" s="86" t="s">
        <v>498</v>
      </c>
      <c r="C14" s="86"/>
      <c r="D14" s="85" t="s">
        <v>681</v>
      </c>
      <c r="E14" s="86" t="s">
        <v>686</v>
      </c>
      <c r="F14" s="86"/>
      <c r="G14" s="92"/>
      <c r="H14" s="92"/>
      <c r="I14" s="92">
        <v>400</v>
      </c>
      <c r="J14" s="92" t="b">
        <v>1</v>
      </c>
      <c r="K14" s="86"/>
      <c r="L14" s="104"/>
      <c r="M14" s="99"/>
      <c r="N14" s="86"/>
      <c r="O14" s="86"/>
      <c r="P14" s="86"/>
      <c r="Q14" s="86"/>
      <c r="R14" s="86"/>
      <c r="S14" s="86"/>
      <c r="T14" s="86"/>
      <c r="U14" s="86"/>
      <c r="V14" s="86"/>
      <c r="W14" s="86"/>
      <c r="X14" s="86"/>
      <c r="Y14" s="86"/>
      <c r="Z14" s="86"/>
      <c r="AA14" s="86"/>
      <c r="AB14" s="86"/>
      <c r="AC14" s="86"/>
      <c r="AD14" s="86"/>
      <c r="AE14" s="86"/>
      <c r="AF14" s="86"/>
      <c r="AG14" s="86"/>
      <c r="AH14" s="92"/>
      <c r="AI14" s="92"/>
      <c r="AJ14" s="92"/>
      <c r="AK14" s="86"/>
      <c r="AL14" s="86"/>
      <c r="AM14" s="86"/>
      <c r="AN14" s="86"/>
      <c r="AO14" s="86"/>
      <c r="AP14" s="86"/>
      <c r="AQ14" s="121"/>
    </row>
    <row r="15" spans="1:43">
      <c r="A15" s="84" t="s">
        <v>716</v>
      </c>
      <c r="B15" s="85" t="s">
        <v>497</v>
      </c>
      <c r="C15" s="85"/>
      <c r="D15" s="85" t="s">
        <v>681</v>
      </c>
      <c r="E15" s="85" t="s">
        <v>686</v>
      </c>
      <c r="F15" s="85"/>
      <c r="G15" s="94"/>
      <c r="H15" s="94"/>
      <c r="I15" s="94">
        <v>400</v>
      </c>
      <c r="J15" s="94" t="b">
        <v>1</v>
      </c>
      <c r="K15" s="85"/>
      <c r="L15" s="105"/>
      <c r="M15" s="100"/>
      <c r="N15" s="85"/>
      <c r="O15" s="85"/>
      <c r="P15" s="85"/>
      <c r="Q15" s="85"/>
      <c r="R15" s="85"/>
      <c r="S15" s="85"/>
      <c r="T15" s="85"/>
      <c r="U15" s="85"/>
      <c r="V15" s="85"/>
      <c r="W15" s="85"/>
      <c r="X15" s="85"/>
      <c r="Y15" s="85"/>
      <c r="Z15" s="85"/>
      <c r="AA15" s="85"/>
      <c r="AB15" s="85"/>
      <c r="AC15" s="85"/>
      <c r="AD15" s="85"/>
      <c r="AE15" s="85"/>
      <c r="AF15" s="85"/>
      <c r="AG15" s="85"/>
      <c r="AH15" s="94"/>
      <c r="AI15" s="94"/>
      <c r="AJ15" s="94"/>
      <c r="AK15" s="85"/>
      <c r="AL15" s="85"/>
      <c r="AM15" s="85"/>
      <c r="AN15" s="85"/>
      <c r="AO15" s="85"/>
      <c r="AP15" s="85"/>
      <c r="AQ15" s="122"/>
    </row>
    <row r="16" spans="1:43">
      <c r="A16" s="84" t="s">
        <v>716</v>
      </c>
      <c r="B16" s="84" t="s">
        <v>708</v>
      </c>
      <c r="C16" s="84"/>
      <c r="D16" s="84" t="s">
        <v>681</v>
      </c>
      <c r="E16" s="84" t="s">
        <v>709</v>
      </c>
      <c r="F16" s="84"/>
      <c r="G16" s="84" t="s">
        <v>710</v>
      </c>
      <c r="H16" s="84">
        <v>220</v>
      </c>
      <c r="I16" s="84">
        <v>200</v>
      </c>
      <c r="J16" s="90" t="b">
        <v>1</v>
      </c>
      <c r="K16" s="91" t="s">
        <v>34</v>
      </c>
      <c r="L16" s="102" t="s">
        <v>34</v>
      </c>
      <c r="M16" s="98"/>
      <c r="N16" s="84"/>
      <c r="O16" s="84"/>
      <c r="P16" s="84"/>
      <c r="Q16" s="84"/>
      <c r="R16" s="84"/>
      <c r="S16" s="84"/>
      <c r="T16" s="84"/>
      <c r="U16" s="84"/>
      <c r="V16" s="84"/>
      <c r="W16" s="84"/>
      <c r="X16" s="84"/>
      <c r="Y16" s="84"/>
      <c r="Z16" s="84"/>
      <c r="AA16" s="84" t="s">
        <v>711</v>
      </c>
      <c r="AB16" s="84" t="s">
        <v>712</v>
      </c>
      <c r="AC16" s="84" t="s">
        <v>718</v>
      </c>
      <c r="AD16" s="84" t="s">
        <v>686</v>
      </c>
      <c r="AE16" s="84"/>
      <c r="AF16" s="84"/>
      <c r="AG16" s="84" t="b">
        <v>1</v>
      </c>
      <c r="AH16" s="84">
        <v>220</v>
      </c>
      <c r="AI16" s="90">
        <v>400</v>
      </c>
      <c r="AJ16" s="90" t="b">
        <v>1</v>
      </c>
      <c r="AK16" s="84" t="s">
        <v>719</v>
      </c>
      <c r="AL16" s="84"/>
      <c r="AM16" s="84"/>
      <c r="AN16" s="84"/>
      <c r="AO16" s="84"/>
      <c r="AP16" s="84"/>
      <c r="AQ16" s="120" t="s">
        <v>720</v>
      </c>
    </row>
    <row r="17" spans="1:43">
      <c r="A17" s="86" t="s">
        <v>716</v>
      </c>
      <c r="B17" s="86" t="s">
        <v>166</v>
      </c>
      <c r="C17" s="86"/>
      <c r="D17" s="86" t="s">
        <v>681</v>
      </c>
      <c r="E17" s="86" t="s">
        <v>686</v>
      </c>
      <c r="F17" s="86"/>
      <c r="G17" s="92"/>
      <c r="H17" s="92"/>
      <c r="I17" s="92">
        <v>400</v>
      </c>
      <c r="J17" s="92"/>
      <c r="K17" s="93" t="s">
        <v>34</v>
      </c>
      <c r="L17" s="103" t="s">
        <v>34</v>
      </c>
      <c r="M17" s="99"/>
      <c r="N17" s="86"/>
      <c r="O17" s="86"/>
      <c r="P17" s="86"/>
      <c r="Q17" s="86"/>
      <c r="R17" s="86"/>
      <c r="S17" s="86"/>
      <c r="T17" s="86"/>
      <c r="U17" s="86"/>
      <c r="V17" s="86"/>
      <c r="W17" s="86"/>
      <c r="X17" s="86"/>
      <c r="Y17" s="86"/>
      <c r="Z17" s="86"/>
      <c r="AA17" s="86"/>
      <c r="AB17" s="86"/>
      <c r="AC17" s="86"/>
      <c r="AD17" s="86"/>
      <c r="AE17" s="86"/>
      <c r="AF17" s="86"/>
      <c r="AG17" s="86"/>
      <c r="AH17" s="92"/>
      <c r="AI17" s="92"/>
      <c r="AJ17" s="92"/>
      <c r="AK17" s="86"/>
      <c r="AL17" s="86"/>
      <c r="AM17" s="86"/>
      <c r="AN17" s="86"/>
      <c r="AO17" s="86"/>
      <c r="AP17" s="86"/>
      <c r="AQ17" s="121"/>
    </row>
    <row r="18" spans="1:43">
      <c r="A18" s="86" t="s">
        <v>716</v>
      </c>
      <c r="B18" s="86" t="s">
        <v>166</v>
      </c>
      <c r="C18" s="86"/>
      <c r="D18" s="86" t="s">
        <v>681</v>
      </c>
      <c r="E18" s="86" t="s">
        <v>686</v>
      </c>
      <c r="F18" s="86"/>
      <c r="G18" s="92"/>
      <c r="H18" s="92"/>
      <c r="I18" s="92">
        <v>400</v>
      </c>
      <c r="J18" s="92"/>
      <c r="K18" s="86"/>
      <c r="L18" s="104"/>
      <c r="M18" s="99"/>
      <c r="N18" s="86"/>
      <c r="O18" s="86"/>
      <c r="P18" s="86"/>
      <c r="Q18" s="86"/>
      <c r="R18" s="86"/>
      <c r="S18" s="86"/>
      <c r="T18" s="86"/>
      <c r="U18" s="86"/>
      <c r="V18" s="86"/>
      <c r="W18" s="86"/>
      <c r="X18" s="86"/>
      <c r="Y18" s="86"/>
      <c r="Z18" s="86"/>
      <c r="AA18" s="86"/>
      <c r="AB18" s="86"/>
      <c r="AC18" s="86"/>
      <c r="AD18" s="86"/>
      <c r="AE18" s="86"/>
      <c r="AF18" s="86"/>
      <c r="AG18" s="86"/>
      <c r="AH18" s="92"/>
      <c r="AI18" s="92"/>
      <c r="AJ18" s="92"/>
      <c r="AK18" s="86"/>
      <c r="AL18" s="86"/>
      <c r="AM18" s="86"/>
      <c r="AN18" s="86"/>
      <c r="AO18" s="86"/>
      <c r="AP18" s="86"/>
      <c r="AQ18" s="121"/>
    </row>
    <row r="19" spans="1:43">
      <c r="A19" s="86" t="s">
        <v>716</v>
      </c>
      <c r="B19" s="86" t="s">
        <v>717</v>
      </c>
      <c r="C19" s="86"/>
      <c r="D19" s="86" t="s">
        <v>681</v>
      </c>
      <c r="E19" s="86" t="s">
        <v>709</v>
      </c>
      <c r="F19" s="86"/>
      <c r="G19" s="86" t="s">
        <v>710</v>
      </c>
      <c r="H19" s="86">
        <v>220</v>
      </c>
      <c r="I19" s="86">
        <v>200</v>
      </c>
      <c r="J19" s="86" t="b">
        <v>1</v>
      </c>
      <c r="K19" s="86"/>
      <c r="L19" s="104"/>
      <c r="M19" s="99"/>
      <c r="N19" s="86"/>
      <c r="O19" s="86"/>
      <c r="P19" s="86"/>
      <c r="Q19" s="86"/>
      <c r="R19" s="86"/>
      <c r="S19" s="86"/>
      <c r="T19" s="86"/>
      <c r="U19" s="86"/>
      <c r="V19" s="86"/>
      <c r="W19" s="86"/>
      <c r="X19" s="86"/>
      <c r="Y19" s="86"/>
      <c r="Z19" s="86"/>
      <c r="AA19" s="86"/>
      <c r="AB19" s="86"/>
      <c r="AC19" s="86"/>
      <c r="AD19" s="86"/>
      <c r="AE19" s="86"/>
      <c r="AF19" s="86"/>
      <c r="AG19" s="86"/>
      <c r="AH19" s="86"/>
      <c r="AI19" s="86"/>
      <c r="AJ19" s="86"/>
      <c r="AK19" s="86"/>
      <c r="AL19" s="86"/>
      <c r="AM19" s="86"/>
      <c r="AN19" s="86"/>
      <c r="AO19" s="86"/>
      <c r="AP19" s="86"/>
      <c r="AQ19" s="121"/>
    </row>
    <row r="20" spans="1:43">
      <c r="A20" s="86" t="s">
        <v>716</v>
      </c>
      <c r="B20" s="86" t="s">
        <v>166</v>
      </c>
      <c r="C20" s="86"/>
      <c r="D20" s="86" t="s">
        <v>681</v>
      </c>
      <c r="E20" s="86" t="s">
        <v>686</v>
      </c>
      <c r="F20" s="86"/>
      <c r="G20" s="92"/>
      <c r="H20" s="92"/>
      <c r="I20" s="92">
        <v>400</v>
      </c>
      <c r="J20" s="92"/>
      <c r="K20" s="86"/>
      <c r="L20" s="104"/>
      <c r="M20" s="99"/>
      <c r="N20" s="86"/>
      <c r="O20" s="86"/>
      <c r="P20" s="86"/>
      <c r="Q20" s="86"/>
      <c r="R20" s="86"/>
      <c r="S20" s="86"/>
      <c r="T20" s="86"/>
      <c r="U20" s="86"/>
      <c r="V20" s="86"/>
      <c r="W20" s="86"/>
      <c r="X20" s="86"/>
      <c r="Y20" s="86"/>
      <c r="Z20" s="86"/>
      <c r="AA20" s="86"/>
      <c r="AB20" s="86"/>
      <c r="AC20" s="86"/>
      <c r="AD20" s="86"/>
      <c r="AE20" s="86"/>
      <c r="AF20" s="86"/>
      <c r="AG20" s="86"/>
      <c r="AH20" s="92"/>
      <c r="AI20" s="92"/>
      <c r="AJ20" s="92"/>
      <c r="AK20" s="86"/>
      <c r="AL20" s="86"/>
      <c r="AM20" s="86"/>
      <c r="AN20" s="86"/>
      <c r="AO20" s="86"/>
      <c r="AP20" s="86"/>
      <c r="AQ20" s="121"/>
    </row>
    <row r="21" spans="1:43">
      <c r="A21" s="85" t="s">
        <v>716</v>
      </c>
      <c r="B21" s="85" t="s">
        <v>166</v>
      </c>
      <c r="C21" s="85"/>
      <c r="D21" s="85" t="s">
        <v>681</v>
      </c>
      <c r="E21" s="85" t="s">
        <v>686</v>
      </c>
      <c r="F21" s="85"/>
      <c r="G21" s="94"/>
      <c r="H21" s="94"/>
      <c r="I21" s="94">
        <v>400</v>
      </c>
      <c r="J21" s="94"/>
      <c r="K21" s="85"/>
      <c r="L21" s="105"/>
      <c r="M21" s="100"/>
      <c r="N21" s="85"/>
      <c r="O21" s="85"/>
      <c r="P21" s="85"/>
      <c r="Q21" s="85"/>
      <c r="R21" s="85"/>
      <c r="S21" s="85"/>
      <c r="T21" s="85"/>
      <c r="U21" s="85"/>
      <c r="V21" s="85"/>
      <c r="W21" s="85"/>
      <c r="X21" s="85"/>
      <c r="Y21" s="85"/>
      <c r="Z21" s="85"/>
      <c r="AA21" s="85"/>
      <c r="AB21" s="85"/>
      <c r="AC21" s="85"/>
      <c r="AD21" s="85"/>
      <c r="AE21" s="85"/>
      <c r="AF21" s="85"/>
      <c r="AG21" s="85"/>
      <c r="AH21" s="94"/>
      <c r="AI21" s="94"/>
      <c r="AJ21" s="94"/>
      <c r="AK21" s="85"/>
      <c r="AL21" s="85"/>
      <c r="AM21" s="85"/>
      <c r="AN21" s="85"/>
      <c r="AO21" s="85"/>
      <c r="AP21" s="85"/>
      <c r="AQ21" s="122"/>
    </row>
    <row r="22" spans="1:43">
      <c r="A22" s="84" t="s">
        <v>716</v>
      </c>
      <c r="B22" s="84" t="s">
        <v>708</v>
      </c>
      <c r="C22" s="84"/>
      <c r="D22" s="84" t="s">
        <v>681</v>
      </c>
      <c r="E22" s="84" t="s">
        <v>709</v>
      </c>
      <c r="F22" s="84"/>
      <c r="G22" s="90"/>
      <c r="H22" s="84">
        <v>220</v>
      </c>
      <c r="I22" s="84">
        <v>200</v>
      </c>
      <c r="J22" s="90" t="b">
        <v>1</v>
      </c>
      <c r="K22" s="84"/>
      <c r="L22" s="107"/>
      <c r="M22" s="98"/>
      <c r="N22" s="84"/>
      <c r="O22" s="84"/>
      <c r="P22" s="84"/>
      <c r="Q22" s="84"/>
      <c r="R22" s="84"/>
      <c r="S22" s="84"/>
      <c r="T22" s="84"/>
      <c r="U22" s="84"/>
      <c r="V22" s="84"/>
      <c r="W22" s="84"/>
      <c r="X22" s="84"/>
      <c r="Y22" s="84"/>
      <c r="Z22" s="84"/>
      <c r="AA22" s="84" t="s">
        <v>711</v>
      </c>
      <c r="AB22" s="84" t="s">
        <v>712</v>
      </c>
      <c r="AC22" s="84" t="s">
        <v>721</v>
      </c>
      <c r="AD22" s="84" t="s">
        <v>686</v>
      </c>
      <c r="AE22" s="84"/>
      <c r="AF22" s="84"/>
      <c r="AG22" s="84" t="b">
        <v>1</v>
      </c>
      <c r="AH22" s="84">
        <v>220</v>
      </c>
      <c r="AI22" s="90">
        <v>400</v>
      </c>
      <c r="AJ22" s="90" t="b">
        <v>1</v>
      </c>
      <c r="AK22" s="84" t="s">
        <v>722</v>
      </c>
      <c r="AL22" s="84"/>
      <c r="AM22" s="84"/>
      <c r="AN22" s="84"/>
      <c r="AO22" s="84"/>
      <c r="AP22" s="84"/>
      <c r="AQ22" s="120" t="s">
        <v>723</v>
      </c>
    </row>
    <row r="23" spans="1:43">
      <c r="A23" s="86" t="s">
        <v>716</v>
      </c>
      <c r="B23" s="86" t="s">
        <v>166</v>
      </c>
      <c r="C23" s="86"/>
      <c r="D23" s="86" t="s">
        <v>681</v>
      </c>
      <c r="E23" s="86" t="s">
        <v>686</v>
      </c>
      <c r="F23" s="86"/>
      <c r="G23" s="92"/>
      <c r="H23" s="92"/>
      <c r="I23" s="92">
        <v>400</v>
      </c>
      <c r="J23" s="92"/>
      <c r="K23" s="86"/>
      <c r="L23" s="104"/>
      <c r="M23" s="99"/>
      <c r="N23" s="86"/>
      <c r="O23" s="86"/>
      <c r="P23" s="86"/>
      <c r="Q23" s="86"/>
      <c r="R23" s="86"/>
      <c r="S23" s="86"/>
      <c r="T23" s="86"/>
      <c r="U23" s="86"/>
      <c r="V23" s="86"/>
      <c r="W23" s="86"/>
      <c r="X23" s="86"/>
      <c r="Y23" s="86"/>
      <c r="Z23" s="86"/>
      <c r="AA23" s="86"/>
      <c r="AB23" s="86"/>
      <c r="AC23" s="86"/>
      <c r="AD23" s="86"/>
      <c r="AE23" s="86"/>
      <c r="AF23" s="86"/>
      <c r="AG23" s="86"/>
      <c r="AH23" s="92"/>
      <c r="AI23" s="92"/>
      <c r="AJ23" s="92"/>
      <c r="AK23" s="86"/>
      <c r="AL23" s="86"/>
      <c r="AM23" s="86"/>
      <c r="AN23" s="86"/>
      <c r="AO23" s="86"/>
      <c r="AP23" s="86"/>
      <c r="AQ23" s="121"/>
    </row>
    <row r="24" spans="1:43">
      <c r="A24" s="86" t="s">
        <v>716</v>
      </c>
      <c r="B24" s="86" t="s">
        <v>166</v>
      </c>
      <c r="C24" s="86"/>
      <c r="D24" s="86" t="s">
        <v>681</v>
      </c>
      <c r="E24" s="86" t="s">
        <v>686</v>
      </c>
      <c r="F24" s="86"/>
      <c r="G24" s="92"/>
      <c r="H24" s="92"/>
      <c r="I24" s="92">
        <v>400</v>
      </c>
      <c r="J24" s="92"/>
      <c r="K24" s="86"/>
      <c r="L24" s="104"/>
      <c r="M24" s="99"/>
      <c r="N24" s="86"/>
      <c r="O24" s="86"/>
      <c r="P24" s="86"/>
      <c r="Q24" s="86"/>
      <c r="R24" s="86"/>
      <c r="S24" s="86"/>
      <c r="T24" s="86"/>
      <c r="U24" s="86"/>
      <c r="V24" s="86"/>
      <c r="W24" s="86"/>
      <c r="X24" s="86"/>
      <c r="Y24" s="86"/>
      <c r="Z24" s="86"/>
      <c r="AA24" s="86"/>
      <c r="AB24" s="86"/>
      <c r="AC24" s="86"/>
      <c r="AD24" s="86"/>
      <c r="AE24" s="86"/>
      <c r="AF24" s="86"/>
      <c r="AG24" s="86"/>
      <c r="AH24" s="92"/>
      <c r="AI24" s="92"/>
      <c r="AJ24" s="92"/>
      <c r="AK24" s="86"/>
      <c r="AL24" s="86"/>
      <c r="AM24" s="86"/>
      <c r="AN24" s="86"/>
      <c r="AO24" s="86"/>
      <c r="AP24" s="86"/>
      <c r="AQ24" s="121"/>
    </row>
    <row r="25" spans="1:43">
      <c r="A25" s="86" t="s">
        <v>716</v>
      </c>
      <c r="B25" s="86" t="s">
        <v>717</v>
      </c>
      <c r="C25" s="86"/>
      <c r="D25" s="86" t="s">
        <v>681</v>
      </c>
      <c r="E25" s="86" t="s">
        <v>709</v>
      </c>
      <c r="F25" s="86"/>
      <c r="G25" s="86" t="s">
        <v>710</v>
      </c>
      <c r="H25" s="86">
        <v>220</v>
      </c>
      <c r="I25" s="86">
        <v>200</v>
      </c>
      <c r="J25" s="86" t="b">
        <v>1</v>
      </c>
      <c r="K25" s="86"/>
      <c r="L25" s="104"/>
      <c r="M25" s="99"/>
      <c r="N25" s="86"/>
      <c r="O25" s="86"/>
      <c r="P25" s="86"/>
      <c r="Q25" s="86"/>
      <c r="R25" s="86"/>
      <c r="S25" s="86"/>
      <c r="T25" s="86"/>
      <c r="U25" s="86"/>
      <c r="V25" s="86"/>
      <c r="W25" s="86"/>
      <c r="X25" s="86"/>
      <c r="Y25" s="86"/>
      <c r="Z25" s="86"/>
      <c r="AA25" s="86"/>
      <c r="AB25" s="86"/>
      <c r="AC25" s="86"/>
      <c r="AD25" s="86"/>
      <c r="AE25" s="86"/>
      <c r="AF25" s="86"/>
      <c r="AG25" s="86"/>
      <c r="AH25" s="86"/>
      <c r="AI25" s="86"/>
      <c r="AJ25" s="86"/>
      <c r="AK25" s="86"/>
      <c r="AL25" s="86"/>
      <c r="AM25" s="86"/>
      <c r="AN25" s="86"/>
      <c r="AO25" s="86"/>
      <c r="AP25" s="86"/>
      <c r="AQ25" s="121"/>
    </row>
    <row r="26" spans="1:43">
      <c r="A26" s="86" t="s">
        <v>716</v>
      </c>
      <c r="B26" s="86" t="s">
        <v>166</v>
      </c>
      <c r="C26" s="86"/>
      <c r="D26" s="86" t="s">
        <v>681</v>
      </c>
      <c r="E26" s="86" t="s">
        <v>686</v>
      </c>
      <c r="F26" s="86"/>
      <c r="G26" s="92"/>
      <c r="H26" s="92"/>
      <c r="I26" s="92">
        <v>400</v>
      </c>
      <c r="J26" s="92"/>
      <c r="K26" s="86"/>
      <c r="L26" s="104"/>
      <c r="M26" s="99"/>
      <c r="N26" s="86"/>
      <c r="O26" s="86"/>
      <c r="P26" s="86"/>
      <c r="Q26" s="86"/>
      <c r="R26" s="86"/>
      <c r="S26" s="86"/>
      <c r="T26" s="86"/>
      <c r="U26" s="86"/>
      <c r="V26" s="86"/>
      <c r="W26" s="86"/>
      <c r="X26" s="86"/>
      <c r="Y26" s="86"/>
      <c r="Z26" s="86"/>
      <c r="AA26" s="86"/>
      <c r="AB26" s="86"/>
      <c r="AC26" s="86"/>
      <c r="AD26" s="86"/>
      <c r="AE26" s="86"/>
      <c r="AF26" s="86"/>
      <c r="AG26" s="86"/>
      <c r="AH26" s="92"/>
      <c r="AI26" s="92"/>
      <c r="AJ26" s="92"/>
      <c r="AK26" s="86"/>
      <c r="AL26" s="86"/>
      <c r="AM26" s="86"/>
      <c r="AN26" s="86"/>
      <c r="AO26" s="86"/>
      <c r="AP26" s="86"/>
      <c r="AQ26" s="121"/>
    </row>
    <row r="27" spans="1:43">
      <c r="A27" s="85" t="s">
        <v>716</v>
      </c>
      <c r="B27" s="86" t="s">
        <v>166</v>
      </c>
      <c r="C27" s="85"/>
      <c r="D27" s="85" t="s">
        <v>681</v>
      </c>
      <c r="E27" s="85" t="s">
        <v>686</v>
      </c>
      <c r="F27" s="85"/>
      <c r="G27" s="94"/>
      <c r="H27" s="94"/>
      <c r="I27" s="94">
        <v>400</v>
      </c>
      <c r="J27" s="94"/>
      <c r="K27" s="85"/>
      <c r="L27" s="105"/>
      <c r="M27" s="100"/>
      <c r="N27" s="85"/>
      <c r="O27" s="85"/>
      <c r="P27" s="85"/>
      <c r="Q27" s="85"/>
      <c r="R27" s="85"/>
      <c r="S27" s="85"/>
      <c r="T27" s="85"/>
      <c r="U27" s="85"/>
      <c r="V27" s="85"/>
      <c r="W27" s="85"/>
      <c r="X27" s="85"/>
      <c r="Y27" s="85"/>
      <c r="Z27" s="85"/>
      <c r="AA27" s="85"/>
      <c r="AB27" s="85"/>
      <c r="AC27" s="85"/>
      <c r="AD27" s="85"/>
      <c r="AE27" s="85"/>
      <c r="AF27" s="85"/>
      <c r="AG27" s="85"/>
      <c r="AH27" s="94"/>
      <c r="AI27" s="94"/>
      <c r="AJ27" s="94"/>
      <c r="AK27" s="85"/>
      <c r="AL27" s="85"/>
      <c r="AM27" s="85"/>
      <c r="AN27" s="85"/>
      <c r="AO27" s="85"/>
      <c r="AP27" s="85"/>
      <c r="AQ27" s="122"/>
    </row>
    <row r="28" spans="1:43">
      <c r="A28" s="64" t="s">
        <v>166</v>
      </c>
      <c r="B28" s="64" t="s">
        <v>166</v>
      </c>
      <c r="C28" s="64"/>
      <c r="D28" s="64" t="s">
        <v>166</v>
      </c>
      <c r="E28" s="64"/>
      <c r="F28" s="64"/>
      <c r="G28" s="64"/>
      <c r="H28" s="64"/>
      <c r="I28" s="64"/>
      <c r="J28" s="64"/>
      <c r="K28" s="64"/>
      <c r="L28" s="106"/>
      <c r="M28" s="97"/>
      <c r="N28" s="64"/>
      <c r="O28" s="64"/>
      <c r="P28" s="64"/>
      <c r="Q28" s="64"/>
      <c r="R28" s="64"/>
      <c r="S28" s="64"/>
      <c r="T28" s="64"/>
      <c r="U28" s="64"/>
      <c r="V28" s="64"/>
      <c r="W28" s="64"/>
      <c r="X28" s="64"/>
      <c r="Y28" s="64"/>
      <c r="Z28" s="64"/>
      <c r="AA28" s="64" t="s">
        <v>711</v>
      </c>
      <c r="AB28" s="64" t="s">
        <v>712</v>
      </c>
      <c r="AC28" s="64" t="s">
        <v>724</v>
      </c>
      <c r="AD28" s="64" t="s">
        <v>682</v>
      </c>
      <c r="AE28" s="64"/>
      <c r="AF28" s="64"/>
      <c r="AG28" s="64" t="b">
        <v>1</v>
      </c>
      <c r="AH28" s="64">
        <v>220</v>
      </c>
      <c r="AI28" s="88">
        <v>400</v>
      </c>
      <c r="AJ28" s="88" t="b">
        <v>1</v>
      </c>
      <c r="AK28" s="64"/>
      <c r="AL28" s="64"/>
      <c r="AM28" s="64"/>
      <c r="AN28" s="64"/>
      <c r="AO28" s="64"/>
      <c r="AP28" s="64"/>
      <c r="AQ28" s="119" t="s">
        <v>725</v>
      </c>
    </row>
    <row r="29" spans="1:43">
      <c r="A29" s="64" t="s">
        <v>726</v>
      </c>
      <c r="B29" s="64" t="s">
        <v>5</v>
      </c>
      <c r="C29" s="64"/>
      <c r="D29" s="64" t="s">
        <v>443</v>
      </c>
      <c r="E29" s="64" t="s">
        <v>686</v>
      </c>
      <c r="F29" s="64"/>
      <c r="G29" s="88"/>
      <c r="H29" s="88">
        <v>220</v>
      </c>
      <c r="I29" s="88">
        <v>400</v>
      </c>
      <c r="J29" s="88"/>
      <c r="K29" s="64"/>
      <c r="L29" s="106"/>
      <c r="M29" s="97"/>
      <c r="N29" s="64"/>
      <c r="O29" s="64"/>
      <c r="P29" s="64"/>
      <c r="Q29" s="64"/>
      <c r="R29" s="64"/>
      <c r="S29" s="64"/>
      <c r="T29" s="64"/>
      <c r="U29" s="64"/>
      <c r="V29" s="64"/>
      <c r="W29" s="64"/>
      <c r="X29" s="64"/>
      <c r="Y29" s="64"/>
      <c r="Z29" s="64"/>
      <c r="AA29" s="64" t="s">
        <v>711</v>
      </c>
      <c r="AB29" s="64" t="s">
        <v>712</v>
      </c>
      <c r="AC29" s="64" t="s">
        <v>727</v>
      </c>
      <c r="AD29" s="64" t="s">
        <v>686</v>
      </c>
      <c r="AE29" s="64"/>
      <c r="AF29" s="64"/>
      <c r="AG29" s="64" t="b">
        <v>1</v>
      </c>
      <c r="AH29" s="88">
        <v>220</v>
      </c>
      <c r="AI29" s="88">
        <v>400</v>
      </c>
      <c r="AJ29" s="88" t="b">
        <v>1</v>
      </c>
      <c r="AK29" s="64"/>
      <c r="AL29" s="64"/>
      <c r="AM29" s="64"/>
      <c r="AN29" s="64"/>
      <c r="AO29" s="64"/>
      <c r="AP29" s="64"/>
      <c r="AQ29" s="119" t="s">
        <v>728</v>
      </c>
    </row>
    <row r="30" spans="1:43">
      <c r="A30" s="64" t="s">
        <v>166</v>
      </c>
      <c r="B30" s="64" t="s">
        <v>166</v>
      </c>
      <c r="C30" s="64"/>
      <c r="D30" s="64" t="s">
        <v>166</v>
      </c>
      <c r="E30" s="64"/>
      <c r="F30" s="64"/>
      <c r="G30" s="64"/>
      <c r="H30" s="64"/>
      <c r="I30" s="64"/>
      <c r="J30" s="64"/>
      <c r="K30" s="64"/>
      <c r="L30" s="106"/>
      <c r="M30" s="97"/>
      <c r="N30" s="64"/>
      <c r="O30" s="64"/>
      <c r="P30" s="64"/>
      <c r="Q30" s="64"/>
      <c r="R30" s="64"/>
      <c r="S30" s="64"/>
      <c r="T30" s="64"/>
      <c r="U30" s="64"/>
      <c r="V30" s="64"/>
      <c r="W30" s="64"/>
      <c r="X30" s="64"/>
      <c r="Y30" s="64"/>
      <c r="Z30" s="64"/>
      <c r="AA30" s="64" t="s">
        <v>711</v>
      </c>
      <c r="AB30" s="64" t="s">
        <v>712</v>
      </c>
      <c r="AC30" s="64" t="s">
        <v>729</v>
      </c>
      <c r="AD30" s="64" t="s">
        <v>694</v>
      </c>
      <c r="AE30" s="64"/>
      <c r="AF30" s="64"/>
      <c r="AG30" s="64" t="b">
        <v>0</v>
      </c>
      <c r="AH30" s="64">
        <v>220</v>
      </c>
      <c r="AI30" s="64">
        <v>16</v>
      </c>
      <c r="AJ30" s="88" t="b">
        <v>1</v>
      </c>
      <c r="AK30" s="64"/>
      <c r="AL30" s="64"/>
      <c r="AM30" s="64"/>
      <c r="AN30" s="64"/>
      <c r="AO30" s="64"/>
      <c r="AP30" s="64"/>
      <c r="AQ30" s="119" t="s">
        <v>730</v>
      </c>
    </row>
    <row r="31" spans="1:43">
      <c r="A31" s="64" t="s">
        <v>166</v>
      </c>
      <c r="B31" s="64" t="s">
        <v>166</v>
      </c>
      <c r="C31" s="64"/>
      <c r="D31" s="64" t="s">
        <v>166</v>
      </c>
      <c r="E31" s="64"/>
      <c r="F31" s="64"/>
      <c r="G31" s="64"/>
      <c r="H31" s="64"/>
      <c r="I31" s="64"/>
      <c r="J31" s="64"/>
      <c r="K31" s="64"/>
      <c r="L31" s="106"/>
      <c r="M31" s="97"/>
      <c r="N31" s="64"/>
      <c r="O31" s="64"/>
      <c r="P31" s="64"/>
      <c r="Q31" s="64"/>
      <c r="R31" s="64"/>
      <c r="S31" s="64"/>
      <c r="T31" s="64"/>
      <c r="U31" s="64"/>
      <c r="V31" s="64"/>
      <c r="W31" s="64"/>
      <c r="X31" s="64"/>
      <c r="Y31" s="64"/>
      <c r="Z31" s="64"/>
      <c r="AA31" s="64" t="s">
        <v>711</v>
      </c>
      <c r="AB31" s="64" t="s">
        <v>712</v>
      </c>
      <c r="AC31" s="64" t="s">
        <v>731</v>
      </c>
      <c r="AD31" s="64" t="s">
        <v>694</v>
      </c>
      <c r="AE31" s="64"/>
      <c r="AF31" s="64"/>
      <c r="AG31" s="64" t="b">
        <v>0</v>
      </c>
      <c r="AH31" s="64">
        <v>220</v>
      </c>
      <c r="AI31" s="64">
        <v>16</v>
      </c>
      <c r="AJ31" s="88" t="b">
        <v>0</v>
      </c>
      <c r="AK31" s="64"/>
      <c r="AL31" s="64"/>
      <c r="AM31" s="64"/>
      <c r="AN31" s="64"/>
      <c r="AO31" s="64"/>
      <c r="AP31" s="64"/>
      <c r="AQ31" s="119" t="s">
        <v>732</v>
      </c>
    </row>
    <row r="32" spans="1:43">
      <c r="A32" s="64" t="s">
        <v>166</v>
      </c>
      <c r="B32" s="64" t="s">
        <v>166</v>
      </c>
      <c r="C32" s="64"/>
      <c r="D32" s="64" t="s">
        <v>166</v>
      </c>
      <c r="E32" s="64"/>
      <c r="F32" s="64"/>
      <c r="G32" s="64"/>
      <c r="H32" s="64"/>
      <c r="I32" s="64"/>
      <c r="J32" s="64"/>
      <c r="K32" s="64"/>
      <c r="L32" s="106"/>
      <c r="M32" s="97"/>
      <c r="N32" s="64"/>
      <c r="O32" s="64"/>
      <c r="P32" s="64"/>
      <c r="Q32" s="64"/>
      <c r="R32" s="64"/>
      <c r="S32" s="64"/>
      <c r="T32" s="64"/>
      <c r="U32" s="64"/>
      <c r="V32" s="64"/>
      <c r="W32" s="64"/>
      <c r="X32" s="64"/>
      <c r="Y32" s="64"/>
      <c r="Z32" s="64"/>
      <c r="AA32" s="64" t="s">
        <v>711</v>
      </c>
      <c r="AB32" s="64" t="s">
        <v>712</v>
      </c>
      <c r="AC32" s="64" t="s">
        <v>733</v>
      </c>
      <c r="AD32" s="64" t="s">
        <v>682</v>
      </c>
      <c r="AE32" s="64"/>
      <c r="AF32" s="64"/>
      <c r="AG32" s="64" t="b">
        <v>0</v>
      </c>
      <c r="AH32" s="64">
        <v>220</v>
      </c>
      <c r="AI32" s="88">
        <v>400</v>
      </c>
      <c r="AJ32" s="88" t="b">
        <v>1</v>
      </c>
      <c r="AK32" s="64"/>
      <c r="AL32" s="64"/>
      <c r="AM32" s="64"/>
      <c r="AN32" s="64"/>
      <c r="AO32" s="64"/>
      <c r="AP32" s="64"/>
      <c r="AQ32" s="119" t="s">
        <v>734</v>
      </c>
    </row>
    <row r="33" spans="1:43">
      <c r="A33" s="64" t="s">
        <v>735</v>
      </c>
      <c r="B33" s="64" t="s">
        <v>489</v>
      </c>
      <c r="C33" s="64"/>
      <c r="D33" s="64" t="s">
        <v>681</v>
      </c>
      <c r="E33" s="64" t="s">
        <v>709</v>
      </c>
      <c r="F33" s="64"/>
      <c r="G33" s="64" t="s">
        <v>710</v>
      </c>
      <c r="H33" s="64">
        <v>220</v>
      </c>
      <c r="I33" s="64">
        <v>200</v>
      </c>
      <c r="J33" s="64"/>
      <c r="K33" s="64"/>
      <c r="L33" s="106"/>
      <c r="M33" s="97"/>
      <c r="N33" s="64"/>
      <c r="O33" s="64"/>
      <c r="P33" s="64"/>
      <c r="Q33" s="64"/>
      <c r="R33" s="64"/>
      <c r="S33" s="64"/>
      <c r="T33" s="64"/>
      <c r="U33" s="64"/>
      <c r="V33" s="64"/>
      <c r="W33" s="64"/>
      <c r="X33" s="64"/>
      <c r="Y33" s="64"/>
      <c r="Z33" s="64"/>
      <c r="AA33" s="64" t="s">
        <v>711</v>
      </c>
      <c r="AB33" s="64" t="s">
        <v>712</v>
      </c>
      <c r="AC33" s="64" t="s">
        <v>736</v>
      </c>
      <c r="AD33" s="64" t="s">
        <v>686</v>
      </c>
      <c r="AE33" s="64"/>
      <c r="AF33" s="64"/>
      <c r="AG33" s="64" t="b">
        <v>1</v>
      </c>
      <c r="AH33" s="64">
        <v>220</v>
      </c>
      <c r="AI33" s="88">
        <v>400</v>
      </c>
      <c r="AJ33" s="88" t="b">
        <v>1</v>
      </c>
      <c r="AK33" s="64" t="s">
        <v>714</v>
      </c>
      <c r="AL33" s="64"/>
      <c r="AM33" s="64"/>
      <c r="AN33" s="64"/>
      <c r="AO33" s="64"/>
      <c r="AP33" s="64"/>
      <c r="AQ33" s="119" t="s">
        <v>737</v>
      </c>
    </row>
    <row r="34" spans="1:43">
      <c r="A34" s="64" t="s">
        <v>735</v>
      </c>
      <c r="B34" s="64" t="s">
        <v>489</v>
      </c>
      <c r="C34" s="64"/>
      <c r="D34" s="64" t="s">
        <v>681</v>
      </c>
      <c r="E34" s="64" t="s">
        <v>709</v>
      </c>
      <c r="F34" s="64"/>
      <c r="G34" s="64" t="s">
        <v>710</v>
      </c>
      <c r="H34" s="64">
        <v>220</v>
      </c>
      <c r="I34" s="64">
        <v>200</v>
      </c>
      <c r="J34" s="64"/>
      <c r="K34" s="64"/>
      <c r="L34" s="106"/>
      <c r="M34" s="97"/>
      <c r="N34" s="64"/>
      <c r="O34" s="64"/>
      <c r="P34" s="64"/>
      <c r="Q34" s="64"/>
      <c r="R34" s="64"/>
      <c r="S34" s="64"/>
      <c r="T34" s="64"/>
      <c r="U34" s="64"/>
      <c r="V34" s="64"/>
      <c r="W34" s="64"/>
      <c r="X34" s="64"/>
      <c r="Y34" s="64"/>
      <c r="Z34" s="64"/>
      <c r="AA34" s="64" t="s">
        <v>711</v>
      </c>
      <c r="AB34" s="64" t="s">
        <v>712</v>
      </c>
      <c r="AC34" s="64" t="s">
        <v>738</v>
      </c>
      <c r="AD34" s="64" t="s">
        <v>686</v>
      </c>
      <c r="AE34" s="64"/>
      <c r="AF34" s="64"/>
      <c r="AG34" s="64" t="b">
        <v>1</v>
      </c>
      <c r="AH34" s="64">
        <v>220</v>
      </c>
      <c r="AI34" s="88">
        <v>400</v>
      </c>
      <c r="AJ34" s="88" t="b">
        <v>1</v>
      </c>
      <c r="AK34" s="64" t="s">
        <v>719</v>
      </c>
      <c r="AL34" s="64"/>
      <c r="AM34" s="64"/>
      <c r="AN34" s="64"/>
      <c r="AO34" s="64"/>
      <c r="AP34" s="64"/>
      <c r="AQ34" s="119" t="s">
        <v>739</v>
      </c>
    </row>
    <row r="35" spans="1:43">
      <c r="A35" s="64" t="s">
        <v>735</v>
      </c>
      <c r="B35" s="64" t="s">
        <v>489</v>
      </c>
      <c r="C35" s="64"/>
      <c r="D35" s="64" t="s">
        <v>681</v>
      </c>
      <c r="E35" s="64" t="s">
        <v>709</v>
      </c>
      <c r="F35" s="64"/>
      <c r="G35" s="64" t="s">
        <v>710</v>
      </c>
      <c r="H35" s="64">
        <v>220</v>
      </c>
      <c r="I35" s="64">
        <v>200</v>
      </c>
      <c r="J35" s="64"/>
      <c r="K35" s="64"/>
      <c r="L35" s="106"/>
      <c r="M35" s="97"/>
      <c r="N35" s="64"/>
      <c r="O35" s="64"/>
      <c r="P35" s="64"/>
      <c r="Q35" s="64"/>
      <c r="R35" s="64"/>
      <c r="S35" s="64"/>
      <c r="T35" s="64"/>
      <c r="U35" s="64"/>
      <c r="V35" s="64"/>
      <c r="W35" s="64"/>
      <c r="X35" s="64"/>
      <c r="Y35" s="64"/>
      <c r="Z35" s="64"/>
      <c r="AA35" s="64" t="s">
        <v>711</v>
      </c>
      <c r="AB35" s="64" t="s">
        <v>712</v>
      </c>
      <c r="AC35" s="64" t="s">
        <v>740</v>
      </c>
      <c r="AD35" s="64" t="s">
        <v>686</v>
      </c>
      <c r="AE35" s="64"/>
      <c r="AF35" s="64"/>
      <c r="AG35" s="64" t="b">
        <v>1</v>
      </c>
      <c r="AH35" s="64">
        <v>220</v>
      </c>
      <c r="AI35" s="88">
        <v>400</v>
      </c>
      <c r="AJ35" s="88" t="b">
        <v>1</v>
      </c>
      <c r="AK35" s="64" t="s">
        <v>722</v>
      </c>
      <c r="AL35" s="64"/>
      <c r="AM35" s="64"/>
      <c r="AN35" s="64"/>
      <c r="AO35" s="64"/>
      <c r="AP35" s="64"/>
      <c r="AQ35" s="119" t="s">
        <v>741</v>
      </c>
    </row>
    <row r="36" spans="1:43">
      <c r="A36" s="64" t="s">
        <v>166</v>
      </c>
      <c r="B36" s="64" t="s">
        <v>166</v>
      </c>
      <c r="C36" s="64"/>
      <c r="D36" s="64" t="s">
        <v>166</v>
      </c>
      <c r="E36" s="64"/>
      <c r="F36" s="64"/>
      <c r="G36" s="64"/>
      <c r="H36" s="64"/>
      <c r="I36" s="64"/>
      <c r="J36" s="64"/>
      <c r="K36" s="64"/>
      <c r="L36" s="106"/>
      <c r="M36" s="97"/>
      <c r="N36" s="64"/>
      <c r="O36" s="64"/>
      <c r="P36" s="64"/>
      <c r="Q36" s="64"/>
      <c r="R36" s="64"/>
      <c r="S36" s="64"/>
      <c r="T36" s="64"/>
      <c r="U36" s="64"/>
      <c r="V36" s="64"/>
      <c r="W36" s="64"/>
      <c r="X36" s="64"/>
      <c r="Y36" s="64"/>
      <c r="Z36" s="64"/>
      <c r="AA36" s="64" t="s">
        <v>711</v>
      </c>
      <c r="AB36" s="64" t="s">
        <v>742</v>
      </c>
      <c r="AC36" s="64" t="s">
        <v>743</v>
      </c>
      <c r="AD36" s="64" t="s">
        <v>686</v>
      </c>
      <c r="AE36" s="64"/>
      <c r="AF36" s="64"/>
      <c r="AG36" s="64" t="b">
        <v>0</v>
      </c>
      <c r="AH36" s="64">
        <v>220</v>
      </c>
      <c r="AI36" s="88">
        <v>400</v>
      </c>
      <c r="AJ36" s="88" t="b">
        <v>1</v>
      </c>
      <c r="AK36" s="64"/>
      <c r="AL36" s="64"/>
      <c r="AM36" s="64"/>
      <c r="AN36" s="64"/>
      <c r="AO36" s="64"/>
      <c r="AP36" s="64"/>
      <c r="AQ36" s="119" t="s">
        <v>744</v>
      </c>
    </row>
    <row r="37" spans="1:43">
      <c r="A37" s="64" t="s">
        <v>698</v>
      </c>
      <c r="B37" s="64" t="s">
        <v>27</v>
      </c>
      <c r="C37" s="64"/>
      <c r="D37" s="64" t="s">
        <v>681</v>
      </c>
      <c r="E37" s="64" t="s">
        <v>686</v>
      </c>
      <c r="F37" s="64"/>
      <c r="G37" s="64"/>
      <c r="H37" s="88">
        <v>220</v>
      </c>
      <c r="I37" s="88">
        <v>280</v>
      </c>
      <c r="J37" s="64"/>
      <c r="K37" s="64"/>
      <c r="L37" s="101" t="s">
        <v>702</v>
      </c>
      <c r="M37" s="97"/>
      <c r="N37" s="64"/>
      <c r="O37" s="64"/>
      <c r="P37" s="64"/>
      <c r="Q37" s="64"/>
      <c r="R37" s="64"/>
      <c r="S37" s="64"/>
      <c r="T37" s="64"/>
      <c r="U37" s="64"/>
      <c r="V37" s="64"/>
      <c r="W37" s="64"/>
      <c r="X37" s="64"/>
      <c r="Y37" s="64"/>
      <c r="Z37" s="64"/>
      <c r="AA37" s="64" t="s">
        <v>711</v>
      </c>
      <c r="AB37" s="64" t="s">
        <v>742</v>
      </c>
      <c r="AC37" s="64" t="s">
        <v>745</v>
      </c>
      <c r="AD37" s="64" t="s">
        <v>686</v>
      </c>
      <c r="AE37" s="64"/>
      <c r="AF37" s="64"/>
      <c r="AG37" s="64" t="b">
        <v>1</v>
      </c>
      <c r="AH37" s="88">
        <v>220</v>
      </c>
      <c r="AI37" s="88">
        <v>400</v>
      </c>
      <c r="AJ37" s="88" t="b">
        <v>1</v>
      </c>
      <c r="AK37" s="64"/>
      <c r="AL37" s="64" t="s">
        <v>704</v>
      </c>
      <c r="AM37" s="64">
        <v>1</v>
      </c>
      <c r="AN37" s="64">
        <v>20</v>
      </c>
      <c r="AO37" s="64" t="s">
        <v>690</v>
      </c>
      <c r="AP37" s="64"/>
      <c r="AQ37" s="119" t="s">
        <v>746</v>
      </c>
    </row>
    <row r="38" spans="1:43">
      <c r="A38" s="64" t="s">
        <v>698</v>
      </c>
      <c r="B38" s="64" t="s">
        <v>29</v>
      </c>
      <c r="C38" s="64"/>
      <c r="D38" s="64" t="s">
        <v>443</v>
      </c>
      <c r="E38" s="64" t="s">
        <v>686</v>
      </c>
      <c r="F38" s="64"/>
      <c r="G38" s="64"/>
      <c r="H38" s="88">
        <v>220</v>
      </c>
      <c r="I38" s="88">
        <v>400</v>
      </c>
      <c r="J38" s="64"/>
      <c r="K38" s="64"/>
      <c r="L38" s="106"/>
      <c r="M38" s="97"/>
      <c r="N38" s="64"/>
      <c r="O38" s="64"/>
      <c r="P38" s="64"/>
      <c r="Q38" s="64"/>
      <c r="R38" s="64"/>
      <c r="S38" s="64"/>
      <c r="T38" s="64"/>
      <c r="U38" s="64"/>
      <c r="V38" s="64"/>
      <c r="W38" s="64"/>
      <c r="X38" s="64"/>
      <c r="Y38" s="64"/>
      <c r="Z38" s="64"/>
      <c r="AA38" s="64" t="s">
        <v>711</v>
      </c>
      <c r="AB38" s="64" t="s">
        <v>742</v>
      </c>
      <c r="AC38" s="64" t="s">
        <v>747</v>
      </c>
      <c r="AD38" s="64" t="s">
        <v>686</v>
      </c>
      <c r="AE38" s="64"/>
      <c r="AF38" s="64"/>
      <c r="AG38" s="64" t="b">
        <v>0</v>
      </c>
      <c r="AH38" s="88">
        <v>220</v>
      </c>
      <c r="AI38" s="88">
        <v>400</v>
      </c>
      <c r="AJ38" s="88" t="b">
        <v>1</v>
      </c>
      <c r="AK38" s="64"/>
      <c r="AL38" s="64"/>
      <c r="AM38" s="64">
        <v>1</v>
      </c>
      <c r="AN38" s="64">
        <v>1</v>
      </c>
      <c r="AO38" s="64" t="s">
        <v>696</v>
      </c>
      <c r="AP38" s="64"/>
      <c r="AQ38" s="119" t="s">
        <v>748</v>
      </c>
    </row>
    <row r="39" spans="1:43">
      <c r="A39" s="64" t="s">
        <v>698</v>
      </c>
      <c r="B39" s="64" t="s">
        <v>31</v>
      </c>
      <c r="C39" s="64"/>
      <c r="D39" s="64" t="s">
        <v>681</v>
      </c>
      <c r="E39" s="64" t="s">
        <v>686</v>
      </c>
      <c r="F39" s="64"/>
      <c r="G39" s="64"/>
      <c r="H39" s="88">
        <v>220</v>
      </c>
      <c r="I39" s="88">
        <v>280</v>
      </c>
      <c r="J39" s="64"/>
      <c r="K39" s="64"/>
      <c r="L39" s="101" t="s">
        <v>702</v>
      </c>
      <c r="M39" s="97"/>
      <c r="N39" s="64"/>
      <c r="O39" s="64"/>
      <c r="P39" s="64"/>
      <c r="Q39" s="64"/>
      <c r="R39" s="64"/>
      <c r="S39" s="64"/>
      <c r="T39" s="64"/>
      <c r="U39" s="64"/>
      <c r="V39" s="64"/>
      <c r="W39" s="64"/>
      <c r="X39" s="64"/>
      <c r="Y39" s="64"/>
      <c r="Z39" s="64"/>
      <c r="AA39" s="64" t="s">
        <v>711</v>
      </c>
      <c r="AB39" s="64" t="s">
        <v>742</v>
      </c>
      <c r="AC39" s="64" t="s">
        <v>749</v>
      </c>
      <c r="AD39" s="64" t="s">
        <v>686</v>
      </c>
      <c r="AE39" s="64"/>
      <c r="AF39" s="64"/>
      <c r="AG39" s="64" t="b">
        <v>1</v>
      </c>
      <c r="AH39" s="88">
        <v>220</v>
      </c>
      <c r="AI39" s="88">
        <v>400</v>
      </c>
      <c r="AJ39" s="88" t="b">
        <v>1</v>
      </c>
      <c r="AK39" s="64"/>
      <c r="AL39" s="64" t="s">
        <v>704</v>
      </c>
      <c r="AM39" s="64">
        <v>1</v>
      </c>
      <c r="AN39" s="64">
        <v>20</v>
      </c>
      <c r="AO39" s="64" t="s">
        <v>690</v>
      </c>
      <c r="AP39" s="64"/>
      <c r="AQ39" s="119" t="s">
        <v>750</v>
      </c>
    </row>
    <row r="40" spans="1:43">
      <c r="A40" s="64" t="s">
        <v>166</v>
      </c>
      <c r="B40" s="64" t="s">
        <v>166</v>
      </c>
      <c r="C40" s="64"/>
      <c r="D40" s="64" t="s">
        <v>166</v>
      </c>
      <c r="E40" s="64"/>
      <c r="F40" s="64"/>
      <c r="G40" s="64"/>
      <c r="H40" s="64"/>
      <c r="I40" s="64"/>
      <c r="J40" s="64"/>
      <c r="K40" s="64"/>
      <c r="L40" s="106"/>
      <c r="M40" s="97"/>
      <c r="N40" s="64"/>
      <c r="O40" s="64"/>
      <c r="P40" s="64"/>
      <c r="Q40" s="64"/>
      <c r="R40" s="64"/>
      <c r="S40" s="64"/>
      <c r="T40" s="64"/>
      <c r="U40" s="64"/>
      <c r="V40" s="64"/>
      <c r="W40" s="64"/>
      <c r="X40" s="64"/>
      <c r="Y40" s="64"/>
      <c r="Z40" s="64"/>
      <c r="AA40" s="64" t="s">
        <v>711</v>
      </c>
      <c r="AB40" s="64" t="s">
        <v>742</v>
      </c>
      <c r="AC40" s="64" t="s">
        <v>751</v>
      </c>
      <c r="AD40" s="64" t="s">
        <v>686</v>
      </c>
      <c r="AE40" s="64"/>
      <c r="AF40" s="64"/>
      <c r="AG40" s="64" t="b">
        <v>0</v>
      </c>
      <c r="AH40" s="64">
        <v>220</v>
      </c>
      <c r="AI40" s="88">
        <v>400</v>
      </c>
      <c r="AJ40" s="88" t="b">
        <v>1</v>
      </c>
      <c r="AK40" s="64"/>
      <c r="AL40" s="64"/>
      <c r="AM40" s="64"/>
      <c r="AN40" s="64"/>
      <c r="AO40" s="64"/>
      <c r="AP40" s="64"/>
      <c r="AQ40" s="119" t="s">
        <v>752</v>
      </c>
    </row>
    <row r="41" spans="1:43">
      <c r="A41" s="64" t="s">
        <v>753</v>
      </c>
      <c r="B41" s="64" t="s">
        <v>59</v>
      </c>
      <c r="C41" s="64"/>
      <c r="D41" s="64" t="s">
        <v>443</v>
      </c>
      <c r="E41" s="64" t="s">
        <v>682</v>
      </c>
      <c r="F41" s="64"/>
      <c r="G41" s="88" t="s">
        <v>754</v>
      </c>
      <c r="H41" s="88">
        <v>220</v>
      </c>
      <c r="I41" s="88">
        <v>400</v>
      </c>
      <c r="J41" s="88"/>
      <c r="K41" s="64"/>
      <c r="L41" s="106"/>
      <c r="M41" s="97"/>
      <c r="N41" s="64"/>
      <c r="O41" s="64"/>
      <c r="P41" s="64"/>
      <c r="Q41" s="64"/>
      <c r="R41" s="64"/>
      <c r="S41" s="64"/>
      <c r="T41" s="64"/>
      <c r="U41" s="64"/>
      <c r="V41" s="64"/>
      <c r="W41" s="64"/>
      <c r="X41" s="64"/>
      <c r="Y41" s="64"/>
      <c r="Z41" s="64"/>
      <c r="AA41" s="64" t="s">
        <v>711</v>
      </c>
      <c r="AB41" s="64" t="s">
        <v>742</v>
      </c>
      <c r="AC41" s="64" t="s">
        <v>755</v>
      </c>
      <c r="AD41" s="64" t="s">
        <v>682</v>
      </c>
      <c r="AE41" s="64"/>
      <c r="AF41" s="64"/>
      <c r="AG41" s="64" t="b">
        <v>1</v>
      </c>
      <c r="AH41" s="88">
        <v>220</v>
      </c>
      <c r="AI41" s="88">
        <v>400</v>
      </c>
      <c r="AJ41" s="88" t="b">
        <v>1</v>
      </c>
      <c r="AK41" s="64"/>
      <c r="AL41" s="64"/>
      <c r="AM41" s="64"/>
      <c r="AN41" s="64"/>
      <c r="AO41" s="64"/>
      <c r="AP41" s="64"/>
      <c r="AQ41" s="119" t="s">
        <v>756</v>
      </c>
    </row>
    <row r="42" spans="1:43">
      <c r="A42" s="64" t="s">
        <v>698</v>
      </c>
      <c r="B42" s="64" t="s">
        <v>56</v>
      </c>
      <c r="C42" s="64"/>
      <c r="D42" s="64" t="s">
        <v>681</v>
      </c>
      <c r="E42" s="64" t="s">
        <v>686</v>
      </c>
      <c r="F42" s="64"/>
      <c r="G42" s="64" t="s">
        <v>699</v>
      </c>
      <c r="H42" s="88">
        <v>220</v>
      </c>
      <c r="I42" s="88">
        <v>400</v>
      </c>
      <c r="J42" s="64"/>
      <c r="K42" s="89" t="s">
        <v>105</v>
      </c>
      <c r="L42" s="106"/>
      <c r="M42" s="97"/>
      <c r="N42" s="64"/>
      <c r="O42" s="64"/>
      <c r="P42" s="64"/>
      <c r="Q42" s="64"/>
      <c r="R42" s="64"/>
      <c r="S42" s="64"/>
      <c r="T42" s="64"/>
      <c r="U42" s="64"/>
      <c r="V42" s="64"/>
      <c r="W42" s="64"/>
      <c r="X42" s="64"/>
      <c r="Y42" s="64"/>
      <c r="Z42" s="64"/>
      <c r="AA42" s="64" t="s">
        <v>711</v>
      </c>
      <c r="AB42" s="64" t="s">
        <v>742</v>
      </c>
      <c r="AC42" s="64" t="s">
        <v>757</v>
      </c>
      <c r="AD42" s="64" t="s">
        <v>686</v>
      </c>
      <c r="AE42" s="64"/>
      <c r="AF42" s="64"/>
      <c r="AG42" s="64" t="b">
        <v>1</v>
      </c>
      <c r="AH42" s="88">
        <v>220</v>
      </c>
      <c r="AI42" s="88">
        <v>400</v>
      </c>
      <c r="AJ42" s="88" t="b">
        <v>1</v>
      </c>
      <c r="AK42" s="64"/>
      <c r="AL42" s="64" t="s">
        <v>689</v>
      </c>
      <c r="AM42" s="64">
        <v>1</v>
      </c>
      <c r="AN42" s="64">
        <v>3</v>
      </c>
      <c r="AO42" s="64"/>
      <c r="AP42" s="64"/>
      <c r="AQ42" s="119" t="s">
        <v>758</v>
      </c>
    </row>
    <row r="43" spans="1:43">
      <c r="A43" s="64" t="s">
        <v>698</v>
      </c>
      <c r="B43" s="64" t="s">
        <v>56</v>
      </c>
      <c r="C43" s="64"/>
      <c r="D43" s="64" t="s">
        <v>681</v>
      </c>
      <c r="E43" s="64" t="s">
        <v>686</v>
      </c>
      <c r="F43" s="64"/>
      <c r="G43" s="64" t="s">
        <v>699</v>
      </c>
      <c r="H43" s="88">
        <v>220</v>
      </c>
      <c r="I43" s="88">
        <v>400</v>
      </c>
      <c r="J43" s="64"/>
      <c r="K43" s="89" t="s">
        <v>105</v>
      </c>
      <c r="L43" s="106"/>
      <c r="M43" s="97"/>
      <c r="N43" s="64"/>
      <c r="O43" s="64"/>
      <c r="P43" s="64"/>
      <c r="Q43" s="64"/>
      <c r="R43" s="64"/>
      <c r="S43" s="64"/>
      <c r="T43" s="64"/>
      <c r="U43" s="64"/>
      <c r="V43" s="64"/>
      <c r="W43" s="64"/>
      <c r="X43" s="64"/>
      <c r="Y43" s="64"/>
      <c r="Z43" s="64"/>
      <c r="AA43" s="64" t="s">
        <v>711</v>
      </c>
      <c r="AB43" s="64" t="s">
        <v>742</v>
      </c>
      <c r="AC43" s="64" t="s">
        <v>759</v>
      </c>
      <c r="AD43" s="64" t="s">
        <v>686</v>
      </c>
      <c r="AE43" s="64"/>
      <c r="AF43" s="64"/>
      <c r="AG43" s="64" t="b">
        <v>1</v>
      </c>
      <c r="AH43" s="88">
        <v>220</v>
      </c>
      <c r="AI43" s="88">
        <v>400</v>
      </c>
      <c r="AJ43" s="88" t="b">
        <v>1</v>
      </c>
      <c r="AK43" s="64"/>
      <c r="AL43" s="64" t="s">
        <v>689</v>
      </c>
      <c r="AM43" s="64">
        <v>4</v>
      </c>
      <c r="AN43" s="64">
        <v>5</v>
      </c>
      <c r="AO43" s="64"/>
      <c r="AP43" s="64"/>
      <c r="AQ43" s="119" t="s">
        <v>760</v>
      </c>
    </row>
    <row r="44" spans="1:43">
      <c r="A44" s="64" t="s">
        <v>698</v>
      </c>
      <c r="B44" s="64" t="s">
        <v>56</v>
      </c>
      <c r="C44" s="64"/>
      <c r="D44" s="64" t="s">
        <v>681</v>
      </c>
      <c r="E44" s="64" t="s">
        <v>686</v>
      </c>
      <c r="F44" s="64"/>
      <c r="G44" s="64" t="s">
        <v>699</v>
      </c>
      <c r="H44" s="88">
        <v>220</v>
      </c>
      <c r="I44" s="88">
        <v>400</v>
      </c>
      <c r="J44" s="64"/>
      <c r="K44" s="89" t="s">
        <v>105</v>
      </c>
      <c r="L44" s="106"/>
      <c r="M44" s="97"/>
      <c r="N44" s="64"/>
      <c r="O44" s="64"/>
      <c r="P44" s="64"/>
      <c r="Q44" s="64"/>
      <c r="R44" s="64"/>
      <c r="S44" s="64"/>
      <c r="T44" s="64"/>
      <c r="U44" s="64"/>
      <c r="V44" s="64"/>
      <c r="W44" s="64"/>
      <c r="X44" s="64"/>
      <c r="Y44" s="64"/>
      <c r="Z44" s="64"/>
      <c r="AA44" s="64" t="s">
        <v>711</v>
      </c>
      <c r="AB44" s="64" t="s">
        <v>742</v>
      </c>
      <c r="AC44" s="64" t="s">
        <v>761</v>
      </c>
      <c r="AD44" s="64" t="s">
        <v>686</v>
      </c>
      <c r="AE44" s="64"/>
      <c r="AF44" s="64"/>
      <c r="AG44" s="64" t="b">
        <v>1</v>
      </c>
      <c r="AH44" s="88">
        <v>220</v>
      </c>
      <c r="AI44" s="88">
        <v>400</v>
      </c>
      <c r="AJ44" s="88" t="b">
        <v>1</v>
      </c>
      <c r="AK44" s="64"/>
      <c r="AL44" s="64" t="s">
        <v>689</v>
      </c>
      <c r="AM44" s="64">
        <v>6</v>
      </c>
      <c r="AN44" s="64">
        <v>9</v>
      </c>
      <c r="AO44" s="64"/>
      <c r="AP44" s="64"/>
      <c r="AQ44" s="119" t="s">
        <v>762</v>
      </c>
    </row>
    <row r="45" spans="1:43">
      <c r="A45" s="64" t="s">
        <v>753</v>
      </c>
      <c r="B45" s="64" t="s">
        <v>53</v>
      </c>
      <c r="C45" s="64"/>
      <c r="D45" s="64" t="s">
        <v>681</v>
      </c>
      <c r="E45" s="64" t="s">
        <v>709</v>
      </c>
      <c r="F45" s="64"/>
      <c r="G45" s="64" t="s">
        <v>710</v>
      </c>
      <c r="H45" s="64">
        <v>220</v>
      </c>
      <c r="I45" s="64">
        <v>200</v>
      </c>
      <c r="J45" s="64"/>
      <c r="K45" s="64"/>
      <c r="L45" s="106"/>
      <c r="M45" s="97"/>
      <c r="N45" s="64"/>
      <c r="O45" s="64"/>
      <c r="P45" s="64"/>
      <c r="Q45" s="64"/>
      <c r="R45" s="64"/>
      <c r="S45" s="64"/>
      <c r="T45" s="64"/>
      <c r="U45" s="64"/>
      <c r="V45" s="64"/>
      <c r="W45" s="64"/>
      <c r="X45" s="64"/>
      <c r="Y45" s="64"/>
      <c r="Z45" s="64"/>
      <c r="AA45" s="64" t="s">
        <v>711</v>
      </c>
      <c r="AB45" s="64" t="s">
        <v>742</v>
      </c>
      <c r="AC45" s="64" t="s">
        <v>763</v>
      </c>
      <c r="AD45" s="64" t="s">
        <v>686</v>
      </c>
      <c r="AE45" s="64"/>
      <c r="AF45" s="64"/>
      <c r="AG45" s="64" t="b">
        <v>1</v>
      </c>
      <c r="AH45" s="64">
        <v>220</v>
      </c>
      <c r="AI45" s="88">
        <v>400</v>
      </c>
      <c r="AJ45" s="88" t="b">
        <v>1</v>
      </c>
      <c r="AK45" s="64" t="s">
        <v>714</v>
      </c>
      <c r="AL45" s="64"/>
      <c r="AM45" s="64"/>
      <c r="AN45" s="64"/>
      <c r="AO45" s="64"/>
      <c r="AP45" s="64"/>
      <c r="AQ45" s="119" t="s">
        <v>764</v>
      </c>
    </row>
    <row r="46" spans="1:43">
      <c r="A46" s="64" t="s">
        <v>753</v>
      </c>
      <c r="B46" s="64" t="s">
        <v>53</v>
      </c>
      <c r="C46" s="64"/>
      <c r="D46" s="64" t="s">
        <v>681</v>
      </c>
      <c r="E46" s="64" t="s">
        <v>709</v>
      </c>
      <c r="F46" s="64"/>
      <c r="G46" s="64" t="s">
        <v>710</v>
      </c>
      <c r="H46" s="64">
        <v>220</v>
      </c>
      <c r="I46" s="64">
        <v>200</v>
      </c>
      <c r="J46" s="64"/>
      <c r="K46" s="64"/>
      <c r="L46" s="106"/>
      <c r="M46" s="97"/>
      <c r="N46" s="64"/>
      <c r="O46" s="64"/>
      <c r="P46" s="64"/>
      <c r="Q46" s="64"/>
      <c r="R46" s="64"/>
      <c r="S46" s="64"/>
      <c r="T46" s="64"/>
      <c r="U46" s="64"/>
      <c r="V46" s="64"/>
      <c r="W46" s="64"/>
      <c r="X46" s="64"/>
      <c r="Y46" s="64"/>
      <c r="Z46" s="64"/>
      <c r="AA46" s="64" t="s">
        <v>711</v>
      </c>
      <c r="AB46" s="64" t="s">
        <v>742</v>
      </c>
      <c r="AC46" s="64" t="s">
        <v>765</v>
      </c>
      <c r="AD46" s="64" t="s">
        <v>686</v>
      </c>
      <c r="AE46" s="64"/>
      <c r="AF46" s="64"/>
      <c r="AG46" s="64" t="b">
        <v>1</v>
      </c>
      <c r="AH46" s="64">
        <v>220</v>
      </c>
      <c r="AI46" s="88">
        <v>400</v>
      </c>
      <c r="AJ46" s="88" t="b">
        <v>1</v>
      </c>
      <c r="AK46" s="64" t="s">
        <v>719</v>
      </c>
      <c r="AL46" s="64"/>
      <c r="AM46" s="64"/>
      <c r="AN46" s="64"/>
      <c r="AO46" s="64"/>
      <c r="AP46" s="64"/>
      <c r="AQ46" s="119" t="s">
        <v>766</v>
      </c>
    </row>
    <row r="47" spans="1:43">
      <c r="A47" s="64" t="s">
        <v>753</v>
      </c>
      <c r="B47" s="64" t="s">
        <v>53</v>
      </c>
      <c r="C47" s="64"/>
      <c r="D47" s="64" t="s">
        <v>681</v>
      </c>
      <c r="E47" s="64" t="s">
        <v>709</v>
      </c>
      <c r="F47" s="64"/>
      <c r="G47" s="64" t="s">
        <v>710</v>
      </c>
      <c r="H47" s="64">
        <v>220</v>
      </c>
      <c r="I47" s="64">
        <v>200</v>
      </c>
      <c r="J47" s="64"/>
      <c r="K47" s="64"/>
      <c r="L47" s="106"/>
      <c r="M47" s="97"/>
      <c r="N47" s="64"/>
      <c r="O47" s="64"/>
      <c r="P47" s="64"/>
      <c r="Q47" s="64"/>
      <c r="R47" s="64"/>
      <c r="S47" s="64"/>
      <c r="T47" s="64"/>
      <c r="U47" s="64"/>
      <c r="V47" s="64"/>
      <c r="W47" s="64"/>
      <c r="X47" s="64"/>
      <c r="Y47" s="64"/>
      <c r="Z47" s="64"/>
      <c r="AA47" s="64" t="s">
        <v>711</v>
      </c>
      <c r="AB47" s="64" t="s">
        <v>742</v>
      </c>
      <c r="AC47" s="64" t="s">
        <v>767</v>
      </c>
      <c r="AD47" s="64" t="s">
        <v>686</v>
      </c>
      <c r="AE47" s="64"/>
      <c r="AF47" s="64"/>
      <c r="AG47" s="64" t="b">
        <v>1</v>
      </c>
      <c r="AH47" s="64">
        <v>220</v>
      </c>
      <c r="AI47" s="88">
        <v>400</v>
      </c>
      <c r="AJ47" s="88" t="b">
        <v>1</v>
      </c>
      <c r="AK47" s="64" t="s">
        <v>722</v>
      </c>
      <c r="AL47" s="64"/>
      <c r="AM47" s="64"/>
      <c r="AN47" s="64"/>
      <c r="AO47" s="64"/>
      <c r="AP47" s="64"/>
      <c r="AQ47" s="119" t="s">
        <v>768</v>
      </c>
    </row>
    <row r="48" spans="1:43">
      <c r="A48" s="64" t="s">
        <v>753</v>
      </c>
      <c r="B48" s="64" t="s">
        <v>61</v>
      </c>
      <c r="C48" s="64"/>
      <c r="D48" s="64" t="s">
        <v>443</v>
      </c>
      <c r="E48" s="64" t="s">
        <v>682</v>
      </c>
      <c r="F48" s="64"/>
      <c r="G48" s="88" t="s">
        <v>754</v>
      </c>
      <c r="H48" s="88">
        <v>220</v>
      </c>
      <c r="I48" s="88">
        <v>400</v>
      </c>
      <c r="J48" s="88"/>
      <c r="K48" s="64"/>
      <c r="L48" s="106"/>
      <c r="M48" s="97"/>
      <c r="N48" s="64"/>
      <c r="O48" s="64"/>
      <c r="P48" s="64"/>
      <c r="Q48" s="64"/>
      <c r="R48" s="64"/>
      <c r="S48" s="64"/>
      <c r="T48" s="64"/>
      <c r="U48" s="64"/>
      <c r="V48" s="64"/>
      <c r="W48" s="64"/>
      <c r="X48" s="64"/>
      <c r="Y48" s="64"/>
      <c r="Z48" s="64"/>
      <c r="AA48" s="64" t="s">
        <v>711</v>
      </c>
      <c r="AB48" s="64" t="s">
        <v>742</v>
      </c>
      <c r="AC48" s="64" t="s">
        <v>769</v>
      </c>
      <c r="AD48" s="64" t="s">
        <v>682</v>
      </c>
      <c r="AE48" s="64"/>
      <c r="AF48" s="64"/>
      <c r="AG48" s="64" t="b">
        <v>1</v>
      </c>
      <c r="AH48" s="88">
        <v>220</v>
      </c>
      <c r="AI48" s="88">
        <v>400</v>
      </c>
      <c r="AJ48" s="88" t="b">
        <v>0</v>
      </c>
      <c r="AK48" s="64"/>
      <c r="AL48" s="64"/>
      <c r="AM48" s="64"/>
      <c r="AN48" s="64"/>
      <c r="AO48" s="64"/>
      <c r="AP48" s="64"/>
      <c r="AQ48" s="119" t="s">
        <v>770</v>
      </c>
    </row>
    <row r="49" spans="1:43">
      <c r="A49" s="64" t="s">
        <v>771</v>
      </c>
      <c r="B49" s="64" t="s">
        <v>48</v>
      </c>
      <c r="C49" s="64"/>
      <c r="D49" s="64" t="s">
        <v>681</v>
      </c>
      <c r="E49" s="64" t="s">
        <v>709</v>
      </c>
      <c r="F49" s="64"/>
      <c r="G49" s="64" t="s">
        <v>710</v>
      </c>
      <c r="H49" s="64">
        <v>220</v>
      </c>
      <c r="I49" s="64">
        <v>200</v>
      </c>
      <c r="J49" s="64"/>
      <c r="K49" s="64"/>
      <c r="L49" s="106"/>
      <c r="M49" s="97"/>
      <c r="N49" s="64"/>
      <c r="O49" s="64"/>
      <c r="P49" s="64"/>
      <c r="Q49" s="64"/>
      <c r="R49" s="64"/>
      <c r="S49" s="64"/>
      <c r="T49" s="64"/>
      <c r="U49" s="64"/>
      <c r="V49" s="64"/>
      <c r="W49" s="64"/>
      <c r="X49" s="64"/>
      <c r="Y49" s="64"/>
      <c r="Z49" s="64"/>
      <c r="AA49" s="64" t="s">
        <v>711</v>
      </c>
      <c r="AB49" s="64" t="s">
        <v>742</v>
      </c>
      <c r="AC49" s="64" t="s">
        <v>772</v>
      </c>
      <c r="AD49" s="64" t="s">
        <v>686</v>
      </c>
      <c r="AE49" s="64"/>
      <c r="AF49" s="64"/>
      <c r="AG49" s="64" t="b">
        <v>1</v>
      </c>
      <c r="AH49" s="64">
        <v>220</v>
      </c>
      <c r="AI49" s="88">
        <v>400</v>
      </c>
      <c r="AJ49" s="88" t="b">
        <v>1</v>
      </c>
      <c r="AK49" s="64" t="s">
        <v>714</v>
      </c>
      <c r="AL49" s="64"/>
      <c r="AM49" s="64"/>
      <c r="AN49" s="64"/>
      <c r="AO49" s="64"/>
      <c r="AP49" s="64"/>
      <c r="AQ49" s="119" t="s">
        <v>773</v>
      </c>
    </row>
    <row r="50" spans="1:43">
      <c r="A50" s="64" t="s">
        <v>771</v>
      </c>
      <c r="B50" s="64" t="s">
        <v>48</v>
      </c>
      <c r="C50" s="64"/>
      <c r="D50" s="64" t="s">
        <v>681</v>
      </c>
      <c r="E50" s="64" t="s">
        <v>709</v>
      </c>
      <c r="F50" s="64"/>
      <c r="G50" s="64" t="s">
        <v>710</v>
      </c>
      <c r="H50" s="64">
        <v>220</v>
      </c>
      <c r="I50" s="64">
        <v>200</v>
      </c>
      <c r="J50" s="64"/>
      <c r="K50" s="64"/>
      <c r="L50" s="106"/>
      <c r="M50" s="97"/>
      <c r="N50" s="64"/>
      <c r="O50" s="64"/>
      <c r="P50" s="64"/>
      <c r="Q50" s="64"/>
      <c r="R50" s="64"/>
      <c r="S50" s="64"/>
      <c r="T50" s="64"/>
      <c r="U50" s="64"/>
      <c r="V50" s="64"/>
      <c r="W50" s="64"/>
      <c r="X50" s="64"/>
      <c r="Y50" s="64"/>
      <c r="Z50" s="64"/>
      <c r="AA50" s="64" t="s">
        <v>711</v>
      </c>
      <c r="AB50" s="64" t="s">
        <v>742</v>
      </c>
      <c r="AC50" s="64" t="s">
        <v>774</v>
      </c>
      <c r="AD50" s="64" t="s">
        <v>686</v>
      </c>
      <c r="AE50" s="64"/>
      <c r="AF50" s="64"/>
      <c r="AG50" s="64" t="b">
        <v>1</v>
      </c>
      <c r="AH50" s="64">
        <v>220</v>
      </c>
      <c r="AI50" s="88">
        <v>400</v>
      </c>
      <c r="AJ50" s="88" t="b">
        <v>1</v>
      </c>
      <c r="AK50" s="64" t="s">
        <v>719</v>
      </c>
      <c r="AL50" s="64"/>
      <c r="AM50" s="64"/>
      <c r="AN50" s="64"/>
      <c r="AO50" s="64"/>
      <c r="AP50" s="64"/>
      <c r="AQ50" s="119" t="s">
        <v>775</v>
      </c>
    </row>
    <row r="51" spans="1:43">
      <c r="A51" s="64" t="s">
        <v>771</v>
      </c>
      <c r="B51" s="64" t="s">
        <v>48</v>
      </c>
      <c r="C51" s="64"/>
      <c r="D51" s="64" t="s">
        <v>681</v>
      </c>
      <c r="E51" s="64" t="s">
        <v>709</v>
      </c>
      <c r="F51" s="64"/>
      <c r="G51" s="64" t="s">
        <v>710</v>
      </c>
      <c r="H51" s="64">
        <v>220</v>
      </c>
      <c r="I51" s="64">
        <v>200</v>
      </c>
      <c r="J51" s="64"/>
      <c r="K51" s="64"/>
      <c r="L51" s="106"/>
      <c r="M51" s="97"/>
      <c r="N51" s="64"/>
      <c r="O51" s="64"/>
      <c r="P51" s="64"/>
      <c r="Q51" s="64"/>
      <c r="R51" s="64"/>
      <c r="S51" s="64"/>
      <c r="T51" s="64"/>
      <c r="U51" s="64"/>
      <c r="V51" s="64"/>
      <c r="W51" s="64"/>
      <c r="X51" s="64"/>
      <c r="Y51" s="64"/>
      <c r="Z51" s="64"/>
      <c r="AA51" s="64" t="s">
        <v>711</v>
      </c>
      <c r="AB51" s="64" t="s">
        <v>742</v>
      </c>
      <c r="AC51" s="64" t="s">
        <v>776</v>
      </c>
      <c r="AD51" s="64" t="s">
        <v>686</v>
      </c>
      <c r="AE51" s="64"/>
      <c r="AF51" s="64"/>
      <c r="AG51" s="64" t="b">
        <v>1</v>
      </c>
      <c r="AH51" s="64">
        <v>220</v>
      </c>
      <c r="AI51" s="88">
        <v>400</v>
      </c>
      <c r="AJ51" s="88" t="b">
        <v>1</v>
      </c>
      <c r="AK51" s="64" t="s">
        <v>722</v>
      </c>
      <c r="AL51" s="64"/>
      <c r="AM51" s="64"/>
      <c r="AN51" s="64"/>
      <c r="AO51" s="64"/>
      <c r="AP51" s="64"/>
      <c r="AQ51" s="119" t="s">
        <v>777</v>
      </c>
    </row>
    <row r="52" spans="1:43">
      <c r="A52" s="64" t="s">
        <v>166</v>
      </c>
      <c r="B52" s="64" t="s">
        <v>166</v>
      </c>
      <c r="C52" s="64"/>
      <c r="D52" s="64" t="s">
        <v>166</v>
      </c>
      <c r="E52" s="64"/>
      <c r="F52" s="64"/>
      <c r="G52" s="64"/>
      <c r="H52" s="64"/>
      <c r="I52" s="64"/>
      <c r="J52" s="64"/>
      <c r="K52" s="64"/>
      <c r="L52" s="106"/>
      <c r="M52" s="97"/>
      <c r="N52" s="64"/>
      <c r="O52" s="64"/>
      <c r="P52" s="64"/>
      <c r="Q52" s="64"/>
      <c r="R52" s="64"/>
      <c r="S52" s="64"/>
      <c r="T52" s="64"/>
      <c r="U52" s="64"/>
      <c r="V52" s="64"/>
      <c r="W52" s="64"/>
      <c r="X52" s="64"/>
      <c r="Y52" s="64"/>
      <c r="Z52" s="64"/>
      <c r="AA52" s="64" t="s">
        <v>711</v>
      </c>
      <c r="AB52" s="64" t="s">
        <v>742</v>
      </c>
      <c r="AC52" s="64" t="s">
        <v>778</v>
      </c>
      <c r="AD52" s="64" t="s">
        <v>682</v>
      </c>
      <c r="AE52" s="64"/>
      <c r="AF52" s="64"/>
      <c r="AG52" s="64" t="b">
        <v>1</v>
      </c>
      <c r="AH52" s="64">
        <v>220</v>
      </c>
      <c r="AI52" s="88">
        <v>400</v>
      </c>
      <c r="AJ52" s="88" t="b">
        <v>1</v>
      </c>
      <c r="AK52" s="64"/>
      <c r="AL52" s="64"/>
      <c r="AM52" s="64"/>
      <c r="AN52" s="64"/>
      <c r="AO52" s="64"/>
      <c r="AP52" s="64"/>
      <c r="AQ52" s="119"/>
    </row>
    <row r="53" spans="1:43">
      <c r="A53" s="85" t="s">
        <v>753</v>
      </c>
      <c r="B53" s="84" t="s">
        <v>55</v>
      </c>
      <c r="C53" s="84"/>
      <c r="D53" s="84" t="s">
        <v>681</v>
      </c>
      <c r="E53" s="84" t="s">
        <v>1667</v>
      </c>
      <c r="F53" s="84"/>
      <c r="G53" s="85"/>
      <c r="H53" s="84">
        <v>220</v>
      </c>
      <c r="I53" s="84">
        <v>200</v>
      </c>
      <c r="J53" s="84"/>
      <c r="K53" s="84"/>
      <c r="L53" s="107"/>
      <c r="M53" s="98"/>
      <c r="N53" s="84"/>
      <c r="O53" s="84"/>
      <c r="P53" s="84"/>
      <c r="Q53" s="84"/>
      <c r="R53" s="84"/>
      <c r="S53" s="84"/>
      <c r="T53" s="84"/>
      <c r="U53" s="84"/>
      <c r="V53" s="84"/>
      <c r="W53" s="84"/>
      <c r="X53" s="84"/>
      <c r="Y53" s="84"/>
      <c r="Z53" s="84"/>
      <c r="AA53" s="84" t="s">
        <v>711</v>
      </c>
      <c r="AB53" s="84" t="s">
        <v>742</v>
      </c>
      <c r="AC53" s="84" t="s">
        <v>779</v>
      </c>
      <c r="AD53" s="84" t="s">
        <v>682</v>
      </c>
      <c r="AE53" s="84"/>
      <c r="AF53" s="84"/>
      <c r="AG53" s="84" t="b">
        <v>1</v>
      </c>
      <c r="AH53" s="84">
        <v>220</v>
      </c>
      <c r="AI53" s="90">
        <v>400</v>
      </c>
      <c r="AJ53" s="90" t="b">
        <v>1</v>
      </c>
      <c r="AK53" s="84"/>
      <c r="AL53" s="84"/>
      <c r="AM53" s="84"/>
      <c r="AN53" s="84"/>
      <c r="AO53" s="84"/>
      <c r="AP53" s="84"/>
      <c r="AQ53" s="120"/>
    </row>
    <row r="54" spans="1:43">
      <c r="A54" s="85" t="s">
        <v>753</v>
      </c>
      <c r="B54" s="85" t="s">
        <v>53</v>
      </c>
      <c r="C54" s="85"/>
      <c r="D54" s="85" t="s">
        <v>681</v>
      </c>
      <c r="E54" s="85" t="s">
        <v>709</v>
      </c>
      <c r="F54" s="85"/>
      <c r="G54" s="85" t="s">
        <v>710</v>
      </c>
      <c r="H54" s="85">
        <v>220</v>
      </c>
      <c r="I54" s="85">
        <v>200</v>
      </c>
      <c r="J54" s="85"/>
      <c r="K54" s="85"/>
      <c r="L54" s="105"/>
      <c r="M54" s="100"/>
      <c r="N54" s="85"/>
      <c r="O54" s="85"/>
      <c r="P54" s="85"/>
      <c r="Q54" s="85"/>
      <c r="R54" s="85"/>
      <c r="S54" s="85"/>
      <c r="T54" s="85"/>
      <c r="U54" s="85"/>
      <c r="V54" s="85"/>
      <c r="W54" s="85"/>
      <c r="X54" s="85"/>
      <c r="Y54" s="85"/>
      <c r="Z54" s="85"/>
      <c r="AA54" s="85"/>
      <c r="AB54" s="85"/>
      <c r="AC54" s="85"/>
      <c r="AD54" s="85"/>
      <c r="AE54" s="85"/>
      <c r="AF54" s="85"/>
      <c r="AG54" s="85"/>
      <c r="AH54" s="85"/>
      <c r="AI54" s="85"/>
      <c r="AJ54" s="85"/>
      <c r="AK54" s="85"/>
      <c r="AL54" s="85"/>
      <c r="AM54" s="85"/>
      <c r="AN54" s="85"/>
      <c r="AO54" s="85"/>
      <c r="AP54" s="85"/>
      <c r="AQ54" s="122"/>
    </row>
    <row r="55" spans="1:43">
      <c r="A55" s="64" t="s">
        <v>166</v>
      </c>
      <c r="B55" s="64" t="s">
        <v>166</v>
      </c>
      <c r="C55" s="64"/>
      <c r="D55" s="64" t="s">
        <v>166</v>
      </c>
      <c r="E55" s="64"/>
      <c r="F55" s="64"/>
      <c r="G55" s="64"/>
      <c r="H55" s="64"/>
      <c r="I55" s="64"/>
      <c r="J55" s="64"/>
      <c r="K55" s="64"/>
      <c r="L55" s="106"/>
      <c r="M55" s="97"/>
      <c r="N55" s="64"/>
      <c r="O55" s="64"/>
      <c r="P55" s="64"/>
      <c r="Q55" s="64"/>
      <c r="R55" s="64"/>
      <c r="S55" s="64"/>
      <c r="T55" s="64"/>
      <c r="U55" s="64"/>
      <c r="V55" s="64"/>
      <c r="W55" s="64"/>
      <c r="X55" s="64"/>
      <c r="Y55" s="64"/>
      <c r="Z55" s="64"/>
      <c r="AA55" s="64" t="s">
        <v>711</v>
      </c>
      <c r="AB55" s="64" t="s">
        <v>742</v>
      </c>
      <c r="AC55" s="64" t="s">
        <v>780</v>
      </c>
      <c r="AD55" s="64" t="s">
        <v>682</v>
      </c>
      <c r="AE55" s="64"/>
      <c r="AF55" s="64"/>
      <c r="AG55" s="64" t="b">
        <v>1</v>
      </c>
      <c r="AH55" s="64">
        <v>220</v>
      </c>
      <c r="AI55" s="88">
        <v>400</v>
      </c>
      <c r="AJ55" s="88" t="b">
        <v>1</v>
      </c>
      <c r="AK55" s="64"/>
      <c r="AL55" s="64"/>
      <c r="AM55" s="64"/>
      <c r="AN55" s="64"/>
      <c r="AO55" s="64"/>
      <c r="AP55" s="64"/>
      <c r="AQ55" s="119" t="s">
        <v>781</v>
      </c>
    </row>
    <row r="56" spans="1:43">
      <c r="A56" s="64" t="s">
        <v>166</v>
      </c>
      <c r="B56" s="64" t="s">
        <v>166</v>
      </c>
      <c r="C56" s="64"/>
      <c r="D56" s="64" t="s">
        <v>166</v>
      </c>
      <c r="E56" s="64"/>
      <c r="F56" s="64"/>
      <c r="G56" s="64"/>
      <c r="H56" s="64"/>
      <c r="I56" s="64"/>
      <c r="J56" s="64"/>
      <c r="K56" s="64"/>
      <c r="L56" s="106"/>
      <c r="M56" s="97"/>
      <c r="N56" s="64"/>
      <c r="O56" s="64"/>
      <c r="P56" s="64"/>
      <c r="Q56" s="64"/>
      <c r="R56" s="64"/>
      <c r="S56" s="64"/>
      <c r="T56" s="64"/>
      <c r="U56" s="64"/>
      <c r="V56" s="64"/>
      <c r="W56" s="64"/>
      <c r="X56" s="64"/>
      <c r="Y56" s="64"/>
      <c r="Z56" s="64"/>
      <c r="AA56" s="64" t="s">
        <v>711</v>
      </c>
      <c r="AB56" s="64" t="s">
        <v>742</v>
      </c>
      <c r="AC56" s="64" t="s">
        <v>782</v>
      </c>
      <c r="AD56" s="64" t="s">
        <v>682</v>
      </c>
      <c r="AE56" s="64"/>
      <c r="AF56" s="64"/>
      <c r="AG56" s="64" t="b">
        <v>1</v>
      </c>
      <c r="AH56" s="64">
        <v>220</v>
      </c>
      <c r="AI56" s="88">
        <v>400</v>
      </c>
      <c r="AJ56" s="88" t="b">
        <v>1</v>
      </c>
      <c r="AK56" s="64"/>
      <c r="AL56" s="64"/>
      <c r="AM56" s="64"/>
      <c r="AN56" s="64"/>
      <c r="AO56" s="64"/>
      <c r="AP56" s="64"/>
      <c r="AQ56" s="119" t="s">
        <v>783</v>
      </c>
    </row>
    <row r="57" spans="1:43">
      <c r="A57" s="64" t="s">
        <v>166</v>
      </c>
      <c r="B57" s="64" t="s">
        <v>166</v>
      </c>
      <c r="C57" s="64"/>
      <c r="D57" s="64" t="s">
        <v>166</v>
      </c>
      <c r="E57" s="64"/>
      <c r="F57" s="64"/>
      <c r="G57" s="64"/>
      <c r="H57" s="64"/>
      <c r="I57" s="64"/>
      <c r="J57" s="64"/>
      <c r="K57" s="64"/>
      <c r="L57" s="106"/>
      <c r="M57" s="97"/>
      <c r="N57" s="64"/>
      <c r="O57" s="64"/>
      <c r="P57" s="64"/>
      <c r="Q57" s="64"/>
      <c r="R57" s="64"/>
      <c r="S57" s="64"/>
      <c r="T57" s="64"/>
      <c r="U57" s="64"/>
      <c r="V57" s="64"/>
      <c r="W57" s="64"/>
      <c r="X57" s="64"/>
      <c r="Y57" s="64"/>
      <c r="Z57" s="64"/>
      <c r="AA57" s="64" t="s">
        <v>711</v>
      </c>
      <c r="AB57" s="64" t="s">
        <v>742</v>
      </c>
      <c r="AC57" s="64" t="s">
        <v>784</v>
      </c>
      <c r="AD57" s="64" t="s">
        <v>682</v>
      </c>
      <c r="AE57" s="64"/>
      <c r="AF57" s="64"/>
      <c r="AG57" s="64" t="b">
        <v>1</v>
      </c>
      <c r="AH57" s="64">
        <v>220</v>
      </c>
      <c r="AI57" s="88">
        <v>400</v>
      </c>
      <c r="AJ57" s="88" t="b">
        <v>1</v>
      </c>
      <c r="AK57" s="64"/>
      <c r="AL57" s="64"/>
      <c r="AM57" s="64"/>
      <c r="AN57" s="64"/>
      <c r="AO57" s="64"/>
      <c r="AP57" s="64"/>
      <c r="AQ57" s="119" t="s">
        <v>785</v>
      </c>
    </row>
    <row r="58" spans="1:43">
      <c r="A58" s="64" t="s">
        <v>166</v>
      </c>
      <c r="B58" s="64" t="s">
        <v>166</v>
      </c>
      <c r="C58" s="64"/>
      <c r="D58" s="64" t="s">
        <v>166</v>
      </c>
      <c r="E58" s="64"/>
      <c r="F58" s="64"/>
      <c r="G58" s="64"/>
      <c r="H58" s="64"/>
      <c r="I58" s="64"/>
      <c r="J58" s="64"/>
      <c r="K58" s="64"/>
      <c r="L58" s="106"/>
      <c r="M58" s="97"/>
      <c r="N58" s="64"/>
      <c r="O58" s="64"/>
      <c r="P58" s="64"/>
      <c r="Q58" s="64"/>
      <c r="R58" s="64"/>
      <c r="S58" s="64"/>
      <c r="T58" s="64"/>
      <c r="U58" s="64"/>
      <c r="V58" s="64"/>
      <c r="W58" s="64"/>
      <c r="X58" s="64"/>
      <c r="Y58" s="64"/>
      <c r="Z58" s="64"/>
      <c r="AA58" s="64" t="s">
        <v>711</v>
      </c>
      <c r="AB58" s="64" t="s">
        <v>742</v>
      </c>
      <c r="AC58" s="64" t="s">
        <v>786</v>
      </c>
      <c r="AD58" s="64" t="s">
        <v>694</v>
      </c>
      <c r="AE58" s="64"/>
      <c r="AF58" s="64"/>
      <c r="AG58" s="64" t="b">
        <v>0</v>
      </c>
      <c r="AH58" s="64">
        <v>220</v>
      </c>
      <c r="AI58" s="64">
        <v>16</v>
      </c>
      <c r="AJ58" s="88" t="b">
        <v>1</v>
      </c>
      <c r="AK58" s="64"/>
      <c r="AL58" s="64"/>
      <c r="AM58" s="64"/>
      <c r="AN58" s="64"/>
      <c r="AO58" s="64"/>
      <c r="AP58" s="64"/>
      <c r="AQ58" s="119" t="s">
        <v>787</v>
      </c>
    </row>
    <row r="59" spans="1:43">
      <c r="A59" s="64" t="s">
        <v>166</v>
      </c>
      <c r="B59" s="64" t="s">
        <v>166</v>
      </c>
      <c r="C59" s="64"/>
      <c r="D59" s="64" t="s">
        <v>166</v>
      </c>
      <c r="E59" s="64"/>
      <c r="F59" s="64"/>
      <c r="G59" s="64"/>
      <c r="H59" s="64"/>
      <c r="I59" s="64"/>
      <c r="J59" s="64"/>
      <c r="K59" s="64"/>
      <c r="L59" s="106"/>
      <c r="M59" s="97"/>
      <c r="N59" s="64"/>
      <c r="O59" s="64"/>
      <c r="P59" s="64"/>
      <c r="Q59" s="64"/>
      <c r="R59" s="64"/>
      <c r="S59" s="64"/>
      <c r="T59" s="64"/>
      <c r="U59" s="64"/>
      <c r="V59" s="64"/>
      <c r="W59" s="64"/>
      <c r="X59" s="64"/>
      <c r="Y59" s="64"/>
      <c r="Z59" s="64"/>
      <c r="AA59" s="64" t="s">
        <v>711</v>
      </c>
      <c r="AB59" s="64" t="s">
        <v>742</v>
      </c>
      <c r="AC59" s="64" t="s">
        <v>788</v>
      </c>
      <c r="AD59" s="64" t="s">
        <v>694</v>
      </c>
      <c r="AE59" s="64"/>
      <c r="AF59" s="64"/>
      <c r="AG59" s="64" t="b">
        <v>0</v>
      </c>
      <c r="AH59" s="64">
        <v>220</v>
      </c>
      <c r="AI59" s="64">
        <v>16</v>
      </c>
      <c r="AJ59" s="88" t="b">
        <v>1</v>
      </c>
      <c r="AK59" s="64"/>
      <c r="AL59" s="64"/>
      <c r="AM59" s="64"/>
      <c r="AN59" s="64"/>
      <c r="AO59" s="64"/>
      <c r="AP59" s="64"/>
      <c r="AQ59" s="119" t="s">
        <v>789</v>
      </c>
    </row>
    <row r="60" spans="1:43">
      <c r="A60" s="64" t="s">
        <v>166</v>
      </c>
      <c r="B60" s="64" t="s">
        <v>166</v>
      </c>
      <c r="C60" s="64"/>
      <c r="D60" s="64" t="s">
        <v>166</v>
      </c>
      <c r="E60" s="64"/>
      <c r="F60" s="64"/>
      <c r="G60" s="64"/>
      <c r="H60" s="64"/>
      <c r="I60" s="64"/>
      <c r="J60" s="64"/>
      <c r="K60" s="64"/>
      <c r="L60" s="106"/>
      <c r="M60" s="97"/>
      <c r="N60" s="64"/>
      <c r="O60" s="64"/>
      <c r="P60" s="64"/>
      <c r="Q60" s="64"/>
      <c r="R60" s="64"/>
      <c r="S60" s="64"/>
      <c r="T60" s="64"/>
      <c r="U60" s="64"/>
      <c r="V60" s="64"/>
      <c r="W60" s="64"/>
      <c r="X60" s="64"/>
      <c r="Y60" s="64"/>
      <c r="Z60" s="64"/>
      <c r="AA60" s="64" t="s">
        <v>711</v>
      </c>
      <c r="AB60" s="64" t="s">
        <v>742</v>
      </c>
      <c r="AC60" s="64" t="s">
        <v>790</v>
      </c>
      <c r="AD60" s="64" t="s">
        <v>694</v>
      </c>
      <c r="AE60" s="64"/>
      <c r="AF60" s="64"/>
      <c r="AG60" s="64" t="b">
        <v>0</v>
      </c>
      <c r="AH60" s="64">
        <v>220</v>
      </c>
      <c r="AI60" s="64">
        <v>16</v>
      </c>
      <c r="AJ60" s="88" t="b">
        <v>1</v>
      </c>
      <c r="AK60" s="64"/>
      <c r="AL60" s="64"/>
      <c r="AM60" s="64"/>
      <c r="AN60" s="64"/>
      <c r="AO60" s="64"/>
      <c r="AP60" s="64"/>
      <c r="AQ60" s="119" t="s">
        <v>791</v>
      </c>
    </row>
    <row r="61" spans="1:43" ht="30">
      <c r="A61" s="64" t="s">
        <v>166</v>
      </c>
      <c r="B61" s="64" t="s">
        <v>166</v>
      </c>
      <c r="C61" s="64"/>
      <c r="D61" s="64" t="s">
        <v>166</v>
      </c>
      <c r="E61" s="64"/>
      <c r="F61" s="64"/>
      <c r="G61" s="64"/>
      <c r="H61" s="64"/>
      <c r="I61" s="64"/>
      <c r="J61" s="64"/>
      <c r="K61" s="64"/>
      <c r="L61" s="106"/>
      <c r="M61" s="97"/>
      <c r="N61" s="64"/>
      <c r="O61" s="64"/>
      <c r="P61" s="64"/>
      <c r="Q61" s="64"/>
      <c r="R61" s="64"/>
      <c r="S61" s="64"/>
      <c r="T61" s="64"/>
      <c r="U61" s="64"/>
      <c r="V61" s="64"/>
      <c r="W61" s="64"/>
      <c r="X61" s="64"/>
      <c r="Y61" s="64"/>
      <c r="Z61" s="64"/>
      <c r="AA61" s="64" t="s">
        <v>711</v>
      </c>
      <c r="AB61" s="64" t="s">
        <v>742</v>
      </c>
      <c r="AC61" s="64" t="s">
        <v>792</v>
      </c>
      <c r="AD61" s="64" t="s">
        <v>694</v>
      </c>
      <c r="AE61" s="64"/>
      <c r="AF61" s="64"/>
      <c r="AG61" s="64" t="b">
        <v>0</v>
      </c>
      <c r="AH61" s="64">
        <v>220</v>
      </c>
      <c r="AI61" s="64">
        <v>16</v>
      </c>
      <c r="AJ61" s="88" t="b">
        <v>1</v>
      </c>
      <c r="AK61" s="64"/>
      <c r="AL61" s="64"/>
      <c r="AM61" s="64"/>
      <c r="AN61" s="64"/>
      <c r="AO61" s="64"/>
      <c r="AP61" s="64"/>
      <c r="AQ61" s="119" t="s">
        <v>793</v>
      </c>
    </row>
    <row r="62" spans="1:43">
      <c r="A62" s="64" t="s">
        <v>166</v>
      </c>
      <c r="B62" s="64" t="s">
        <v>166</v>
      </c>
      <c r="C62" s="64"/>
      <c r="D62" s="64" t="s">
        <v>166</v>
      </c>
      <c r="E62" s="64"/>
      <c r="F62" s="64"/>
      <c r="G62" s="64"/>
      <c r="H62" s="64"/>
      <c r="I62" s="64"/>
      <c r="J62" s="64"/>
      <c r="K62" s="64"/>
      <c r="L62" s="106"/>
      <c r="M62" s="97"/>
      <c r="N62" s="64"/>
      <c r="O62" s="64"/>
      <c r="P62" s="64"/>
      <c r="Q62" s="64"/>
      <c r="R62" s="64"/>
      <c r="S62" s="64"/>
      <c r="T62" s="64"/>
      <c r="U62" s="64"/>
      <c r="V62" s="64"/>
      <c r="W62" s="64"/>
      <c r="X62" s="64"/>
      <c r="Y62" s="64"/>
      <c r="Z62" s="64"/>
      <c r="AA62" s="64" t="s">
        <v>711</v>
      </c>
      <c r="AB62" s="64" t="s">
        <v>742</v>
      </c>
      <c r="AC62" s="64" t="s">
        <v>794</v>
      </c>
      <c r="AD62" s="64" t="s">
        <v>694</v>
      </c>
      <c r="AE62" s="64"/>
      <c r="AF62" s="64"/>
      <c r="AG62" s="64" t="b">
        <v>0</v>
      </c>
      <c r="AH62" s="64">
        <v>220</v>
      </c>
      <c r="AI62" s="64">
        <v>16</v>
      </c>
      <c r="AJ62" s="88" t="b">
        <v>1</v>
      </c>
      <c r="AK62" s="64"/>
      <c r="AL62" s="64"/>
      <c r="AM62" s="64"/>
      <c r="AN62" s="64"/>
      <c r="AO62" s="64"/>
      <c r="AP62" s="64"/>
      <c r="AQ62" s="119" t="s">
        <v>795</v>
      </c>
    </row>
    <row r="63" spans="1:43">
      <c r="A63" s="64" t="s">
        <v>166</v>
      </c>
      <c r="B63" s="64" t="s">
        <v>166</v>
      </c>
      <c r="C63" s="64"/>
      <c r="D63" s="64" t="s">
        <v>166</v>
      </c>
      <c r="E63" s="64"/>
      <c r="F63" s="64"/>
      <c r="G63" s="64"/>
      <c r="H63" s="64"/>
      <c r="I63" s="64"/>
      <c r="J63" s="64"/>
      <c r="K63" s="64"/>
      <c r="L63" s="106"/>
      <c r="M63" s="97"/>
      <c r="N63" s="64"/>
      <c r="O63" s="64"/>
      <c r="P63" s="64"/>
      <c r="Q63" s="64"/>
      <c r="R63" s="64"/>
      <c r="S63" s="64"/>
      <c r="T63" s="64"/>
      <c r="U63" s="64"/>
      <c r="V63" s="64"/>
      <c r="W63" s="64"/>
      <c r="X63" s="64"/>
      <c r="Y63" s="64"/>
      <c r="Z63" s="64"/>
      <c r="AA63" s="64" t="s">
        <v>711</v>
      </c>
      <c r="AB63" s="64" t="s">
        <v>742</v>
      </c>
      <c r="AC63" s="64" t="s">
        <v>796</v>
      </c>
      <c r="AD63" s="64" t="s">
        <v>694</v>
      </c>
      <c r="AE63" s="64"/>
      <c r="AF63" s="64"/>
      <c r="AG63" s="64" t="b">
        <v>0</v>
      </c>
      <c r="AH63" s="64">
        <v>220</v>
      </c>
      <c r="AI63" s="64">
        <v>16</v>
      </c>
      <c r="AJ63" s="88" t="b">
        <v>1</v>
      </c>
      <c r="AK63" s="64"/>
      <c r="AL63" s="64"/>
      <c r="AM63" s="64"/>
      <c r="AN63" s="64"/>
      <c r="AO63" s="64"/>
      <c r="AP63" s="64"/>
      <c r="AQ63" s="119" t="s">
        <v>797</v>
      </c>
    </row>
    <row r="64" spans="1:43" ht="30">
      <c r="A64" s="64" t="s">
        <v>166</v>
      </c>
      <c r="B64" s="64" t="s">
        <v>166</v>
      </c>
      <c r="C64" s="64"/>
      <c r="D64" s="64" t="s">
        <v>166</v>
      </c>
      <c r="E64" s="64"/>
      <c r="F64" s="64"/>
      <c r="G64" s="64"/>
      <c r="H64" s="64"/>
      <c r="I64" s="64"/>
      <c r="J64" s="64"/>
      <c r="K64" s="64"/>
      <c r="L64" s="106"/>
      <c r="M64" s="97"/>
      <c r="N64" s="64"/>
      <c r="O64" s="64"/>
      <c r="P64" s="64"/>
      <c r="Q64" s="64"/>
      <c r="R64" s="64"/>
      <c r="S64" s="64"/>
      <c r="T64" s="64"/>
      <c r="U64" s="64"/>
      <c r="V64" s="64"/>
      <c r="W64" s="64"/>
      <c r="X64" s="64"/>
      <c r="Y64" s="64"/>
      <c r="Z64" s="64"/>
      <c r="AA64" s="64" t="s">
        <v>711</v>
      </c>
      <c r="AB64" s="64" t="s">
        <v>742</v>
      </c>
      <c r="AC64" s="64" t="s">
        <v>798</v>
      </c>
      <c r="AD64" s="64" t="s">
        <v>694</v>
      </c>
      <c r="AE64" s="64"/>
      <c r="AF64" s="64"/>
      <c r="AG64" s="64" t="b">
        <v>0</v>
      </c>
      <c r="AH64" s="64">
        <v>220</v>
      </c>
      <c r="AI64" s="64">
        <v>16</v>
      </c>
      <c r="AJ64" s="88" t="b">
        <v>1</v>
      </c>
      <c r="AK64" s="64"/>
      <c r="AL64" s="64"/>
      <c r="AM64" s="64"/>
      <c r="AN64" s="64"/>
      <c r="AO64" s="64"/>
      <c r="AP64" s="64"/>
      <c r="AQ64" s="119" t="s">
        <v>799</v>
      </c>
    </row>
    <row r="65" spans="1:43">
      <c r="A65" s="64" t="s">
        <v>166</v>
      </c>
      <c r="B65" s="64" t="s">
        <v>166</v>
      </c>
      <c r="C65" s="64"/>
      <c r="D65" s="64" t="s">
        <v>166</v>
      </c>
      <c r="E65" s="64"/>
      <c r="F65" s="64"/>
      <c r="G65" s="64"/>
      <c r="H65" s="64"/>
      <c r="I65" s="64"/>
      <c r="J65" s="64"/>
      <c r="K65" s="64"/>
      <c r="L65" s="106"/>
      <c r="M65" s="97"/>
      <c r="N65" s="64"/>
      <c r="O65" s="64"/>
      <c r="P65" s="64"/>
      <c r="Q65" s="64"/>
      <c r="R65" s="64"/>
      <c r="S65" s="64"/>
      <c r="T65" s="64"/>
      <c r="U65" s="64"/>
      <c r="V65" s="64"/>
      <c r="W65" s="64"/>
      <c r="X65" s="64"/>
      <c r="Y65" s="64"/>
      <c r="Z65" s="64"/>
      <c r="AA65" s="64" t="s">
        <v>711</v>
      </c>
      <c r="AB65" s="64" t="s">
        <v>742</v>
      </c>
      <c r="AC65" s="64" t="s">
        <v>800</v>
      </c>
      <c r="AD65" s="64" t="s">
        <v>694</v>
      </c>
      <c r="AE65" s="64"/>
      <c r="AF65" s="64"/>
      <c r="AG65" s="64" t="b">
        <v>0</v>
      </c>
      <c r="AH65" s="64">
        <v>220</v>
      </c>
      <c r="AI65" s="64">
        <v>16</v>
      </c>
      <c r="AJ65" s="88" t="b">
        <v>1</v>
      </c>
      <c r="AK65" s="64"/>
      <c r="AL65" s="64"/>
      <c r="AM65" s="64"/>
      <c r="AN65" s="64"/>
      <c r="AO65" s="64"/>
      <c r="AP65" s="64"/>
      <c r="AQ65" s="119" t="s">
        <v>801</v>
      </c>
    </row>
    <row r="66" spans="1:43">
      <c r="A66" s="64" t="s">
        <v>166</v>
      </c>
      <c r="B66" s="64" t="s">
        <v>166</v>
      </c>
      <c r="C66" s="64"/>
      <c r="D66" s="64" t="s">
        <v>166</v>
      </c>
      <c r="E66" s="64"/>
      <c r="F66" s="64"/>
      <c r="G66" s="64"/>
      <c r="H66" s="64"/>
      <c r="I66" s="64"/>
      <c r="J66" s="64"/>
      <c r="K66" s="64"/>
      <c r="L66" s="106"/>
      <c r="M66" s="97"/>
      <c r="N66" s="64"/>
      <c r="O66" s="64"/>
      <c r="P66" s="64"/>
      <c r="Q66" s="64"/>
      <c r="R66" s="64"/>
      <c r="S66" s="64"/>
      <c r="T66" s="64"/>
      <c r="U66" s="64"/>
      <c r="V66" s="64"/>
      <c r="W66" s="64"/>
      <c r="X66" s="64"/>
      <c r="Y66" s="64"/>
      <c r="Z66" s="64"/>
      <c r="AA66" s="64" t="s">
        <v>711</v>
      </c>
      <c r="AB66" s="64" t="s">
        <v>742</v>
      </c>
      <c r="AC66" s="64" t="s">
        <v>802</v>
      </c>
      <c r="AD66" s="64" t="s">
        <v>694</v>
      </c>
      <c r="AE66" s="64"/>
      <c r="AF66" s="64"/>
      <c r="AG66" s="64" t="b">
        <v>0</v>
      </c>
      <c r="AH66" s="64">
        <v>220</v>
      </c>
      <c r="AI66" s="64">
        <v>16</v>
      </c>
      <c r="AJ66" s="88" t="b">
        <v>1</v>
      </c>
      <c r="AK66" s="64"/>
      <c r="AL66" s="64"/>
      <c r="AM66" s="64"/>
      <c r="AN66" s="64"/>
      <c r="AO66" s="64"/>
      <c r="AP66" s="64"/>
      <c r="AQ66" s="119" t="s">
        <v>803</v>
      </c>
    </row>
    <row r="67" spans="1:43">
      <c r="A67" s="64" t="s">
        <v>166</v>
      </c>
      <c r="B67" s="64" t="s">
        <v>166</v>
      </c>
      <c r="C67" s="64"/>
      <c r="D67" s="64" t="s">
        <v>166</v>
      </c>
      <c r="E67" s="64"/>
      <c r="F67" s="64"/>
      <c r="G67" s="64"/>
      <c r="H67" s="64"/>
      <c r="I67" s="64"/>
      <c r="J67" s="64"/>
      <c r="K67" s="64"/>
      <c r="L67" s="106"/>
      <c r="M67" s="97"/>
      <c r="N67" s="64"/>
      <c r="O67" s="64"/>
      <c r="P67" s="64"/>
      <c r="Q67" s="64"/>
      <c r="R67" s="64"/>
      <c r="S67" s="64"/>
      <c r="T67" s="64"/>
      <c r="U67" s="64"/>
      <c r="V67" s="64"/>
      <c r="W67" s="64"/>
      <c r="X67" s="64"/>
      <c r="Y67" s="64"/>
      <c r="Z67" s="64"/>
      <c r="AA67" s="64" t="s">
        <v>711</v>
      </c>
      <c r="AB67" s="64" t="s">
        <v>742</v>
      </c>
      <c r="AC67" s="64" t="s">
        <v>804</v>
      </c>
      <c r="AD67" s="64" t="s">
        <v>694</v>
      </c>
      <c r="AE67" s="64"/>
      <c r="AF67" s="64"/>
      <c r="AG67" s="64" t="b">
        <v>0</v>
      </c>
      <c r="AH67" s="64">
        <v>220</v>
      </c>
      <c r="AI67" s="64">
        <v>16</v>
      </c>
      <c r="AJ67" s="88" t="b">
        <v>1</v>
      </c>
      <c r="AK67" s="64"/>
      <c r="AL67" s="64"/>
      <c r="AM67" s="64"/>
      <c r="AN67" s="64"/>
      <c r="AO67" s="64"/>
      <c r="AP67" s="64"/>
      <c r="AQ67" s="119" t="s">
        <v>805</v>
      </c>
    </row>
    <row r="68" spans="1:43">
      <c r="A68" s="64" t="s">
        <v>166</v>
      </c>
      <c r="B68" s="64" t="s">
        <v>166</v>
      </c>
      <c r="C68" s="64"/>
      <c r="D68" s="64" t="s">
        <v>166</v>
      </c>
      <c r="E68" s="64"/>
      <c r="F68" s="64"/>
      <c r="G68" s="64"/>
      <c r="H68" s="64"/>
      <c r="I68" s="64"/>
      <c r="J68" s="64"/>
      <c r="K68" s="64"/>
      <c r="L68" s="106"/>
      <c r="M68" s="97"/>
      <c r="N68" s="64"/>
      <c r="O68" s="64"/>
      <c r="P68" s="64"/>
      <c r="Q68" s="64"/>
      <c r="R68" s="64"/>
      <c r="S68" s="64"/>
      <c r="T68" s="64"/>
      <c r="U68" s="64"/>
      <c r="V68" s="64"/>
      <c r="W68" s="64"/>
      <c r="X68" s="64"/>
      <c r="Y68" s="64"/>
      <c r="Z68" s="64"/>
      <c r="AA68" s="64" t="s">
        <v>711</v>
      </c>
      <c r="AB68" s="64" t="s">
        <v>742</v>
      </c>
      <c r="AC68" s="64" t="s">
        <v>806</v>
      </c>
      <c r="AD68" s="64" t="s">
        <v>694</v>
      </c>
      <c r="AE68" s="64"/>
      <c r="AF68" s="64"/>
      <c r="AG68" s="64" t="b">
        <v>0</v>
      </c>
      <c r="AH68" s="64">
        <v>220</v>
      </c>
      <c r="AI68" s="64">
        <v>16</v>
      </c>
      <c r="AJ68" s="88" t="b">
        <v>1</v>
      </c>
      <c r="AK68" s="64"/>
      <c r="AL68" s="64"/>
      <c r="AM68" s="64"/>
      <c r="AN68" s="64"/>
      <c r="AO68" s="64"/>
      <c r="AP68" s="64"/>
      <c r="AQ68" s="119" t="s">
        <v>807</v>
      </c>
    </row>
    <row r="69" spans="1:43">
      <c r="A69" s="84" t="s">
        <v>808</v>
      </c>
      <c r="B69" s="123" t="s">
        <v>175</v>
      </c>
      <c r="C69" s="84"/>
      <c r="D69" s="84" t="s">
        <v>681</v>
      </c>
      <c r="E69" s="84" t="s">
        <v>686</v>
      </c>
      <c r="F69" s="84"/>
      <c r="G69" s="84"/>
      <c r="H69" s="90">
        <v>220</v>
      </c>
      <c r="I69" s="90">
        <v>400</v>
      </c>
      <c r="J69" s="84" t="b">
        <v>1</v>
      </c>
      <c r="K69" s="84"/>
      <c r="L69" s="107"/>
      <c r="M69" s="98"/>
      <c r="N69" s="84"/>
      <c r="O69" s="84"/>
      <c r="P69" s="84"/>
      <c r="Q69" s="84"/>
      <c r="R69" s="84"/>
      <c r="S69" s="84"/>
      <c r="T69" s="84"/>
      <c r="U69" s="84"/>
      <c r="V69" s="84"/>
      <c r="W69" s="84"/>
      <c r="X69" s="84"/>
      <c r="Y69" s="84"/>
      <c r="Z69" s="84"/>
      <c r="AA69" s="84" t="s">
        <v>711</v>
      </c>
      <c r="AB69" s="84" t="s">
        <v>809</v>
      </c>
      <c r="AC69" s="84" t="s">
        <v>810</v>
      </c>
      <c r="AD69" s="84" t="s">
        <v>686</v>
      </c>
      <c r="AE69" s="84"/>
      <c r="AF69" s="84"/>
      <c r="AG69" s="84" t="b">
        <v>1</v>
      </c>
      <c r="AH69" s="90">
        <v>220</v>
      </c>
      <c r="AI69" s="90">
        <v>400</v>
      </c>
      <c r="AJ69" s="90" t="b">
        <v>1</v>
      </c>
      <c r="AK69" s="84"/>
      <c r="AL69" s="84"/>
      <c r="AM69" s="84"/>
      <c r="AN69" s="84"/>
      <c r="AO69" s="84"/>
      <c r="AP69" s="84"/>
      <c r="AQ69" s="120" t="s">
        <v>811</v>
      </c>
    </row>
    <row r="70" spans="1:43">
      <c r="A70" s="86" t="s">
        <v>808</v>
      </c>
      <c r="B70" s="86" t="s">
        <v>812</v>
      </c>
      <c r="C70" s="86"/>
      <c r="D70" s="86" t="s">
        <v>443</v>
      </c>
      <c r="E70" s="86" t="s">
        <v>686</v>
      </c>
      <c r="F70" s="86"/>
      <c r="G70" s="92"/>
      <c r="H70" s="92">
        <v>220</v>
      </c>
      <c r="I70" s="92">
        <v>400</v>
      </c>
      <c r="J70" s="92"/>
      <c r="K70" s="86"/>
      <c r="L70" s="104"/>
      <c r="M70" s="99"/>
      <c r="N70" s="86"/>
      <c r="O70" s="86"/>
      <c r="P70" s="86"/>
      <c r="Q70" s="86"/>
      <c r="R70" s="86"/>
      <c r="S70" s="86"/>
      <c r="T70" s="86"/>
      <c r="U70" s="86"/>
      <c r="V70" s="86"/>
      <c r="W70" s="86"/>
      <c r="X70" s="86"/>
      <c r="Y70" s="86"/>
      <c r="Z70" s="86"/>
      <c r="AA70" s="86"/>
      <c r="AB70" s="86"/>
      <c r="AC70" s="86"/>
      <c r="AD70" s="86"/>
      <c r="AE70" s="86"/>
      <c r="AF70" s="86"/>
      <c r="AG70" s="86"/>
      <c r="AH70" s="92"/>
      <c r="AI70" s="92"/>
      <c r="AJ70" s="92"/>
      <c r="AK70" s="86"/>
      <c r="AL70" s="86"/>
      <c r="AM70" s="86"/>
      <c r="AN70" s="86"/>
      <c r="AO70" s="86"/>
      <c r="AP70" s="86"/>
      <c r="AQ70" s="121"/>
    </row>
    <row r="71" spans="1:43">
      <c r="A71" s="64" t="s">
        <v>166</v>
      </c>
      <c r="B71" s="64" t="s">
        <v>166</v>
      </c>
      <c r="C71" s="64"/>
      <c r="D71" s="64" t="s">
        <v>166</v>
      </c>
      <c r="E71" s="64"/>
      <c r="F71" s="64"/>
      <c r="G71" s="64"/>
      <c r="H71" s="64"/>
      <c r="I71" s="64"/>
      <c r="J71" s="64"/>
      <c r="K71" s="64"/>
      <c r="L71" s="106"/>
      <c r="M71" s="97"/>
      <c r="N71" s="64"/>
      <c r="O71" s="64"/>
      <c r="P71" s="64"/>
      <c r="Q71" s="64"/>
      <c r="R71" s="64"/>
      <c r="S71" s="64"/>
      <c r="T71" s="64"/>
      <c r="U71" s="64"/>
      <c r="V71" s="64"/>
      <c r="W71" s="64"/>
      <c r="X71" s="64"/>
      <c r="Y71" s="64"/>
      <c r="Z71" s="64"/>
      <c r="AA71" s="64" t="s">
        <v>711</v>
      </c>
      <c r="AB71" s="64" t="s">
        <v>809</v>
      </c>
      <c r="AC71" s="64" t="s">
        <v>813</v>
      </c>
      <c r="AD71" s="64" t="s">
        <v>686</v>
      </c>
      <c r="AE71" s="64"/>
      <c r="AF71" s="64"/>
      <c r="AG71" s="64" t="b">
        <v>0</v>
      </c>
      <c r="AH71" s="64">
        <v>220</v>
      </c>
      <c r="AI71" s="88">
        <v>400</v>
      </c>
      <c r="AJ71" s="88" t="b">
        <v>1</v>
      </c>
      <c r="AK71" s="64"/>
      <c r="AL71" s="64"/>
      <c r="AM71" s="64"/>
      <c r="AN71" s="64"/>
      <c r="AO71" s="64"/>
      <c r="AP71" s="64"/>
      <c r="AQ71" s="119" t="s">
        <v>814</v>
      </c>
    </row>
    <row r="72" spans="1:43" s="129" customFormat="1">
      <c r="A72" s="123" t="s">
        <v>808</v>
      </c>
      <c r="B72" s="124" t="s">
        <v>817</v>
      </c>
      <c r="C72" s="123"/>
      <c r="D72" s="123" t="s">
        <v>681</v>
      </c>
      <c r="E72" s="123" t="s">
        <v>686</v>
      </c>
      <c r="F72" s="123"/>
      <c r="G72" s="123"/>
      <c r="H72" s="125">
        <v>220</v>
      </c>
      <c r="I72" s="125">
        <v>400</v>
      </c>
      <c r="J72" s="123"/>
      <c r="K72" s="123"/>
      <c r="L72" s="126"/>
      <c r="M72" s="127"/>
      <c r="N72" s="123"/>
      <c r="O72" s="123"/>
      <c r="P72" s="123"/>
      <c r="Q72" s="123"/>
      <c r="R72" s="123"/>
      <c r="S72" s="123"/>
      <c r="T72" s="123"/>
      <c r="U72" s="123"/>
      <c r="V72" s="123"/>
      <c r="W72" s="123"/>
      <c r="X72" s="123"/>
      <c r="Y72" s="123"/>
      <c r="Z72" s="123"/>
      <c r="AA72" s="123" t="s">
        <v>711</v>
      </c>
      <c r="AB72" s="123" t="s">
        <v>809</v>
      </c>
      <c r="AC72" s="123" t="s">
        <v>815</v>
      </c>
      <c r="AD72" s="123" t="s">
        <v>686</v>
      </c>
      <c r="AE72" s="123"/>
      <c r="AF72" s="123"/>
      <c r="AG72" s="123" t="b">
        <v>1</v>
      </c>
      <c r="AH72" s="125">
        <v>220</v>
      </c>
      <c r="AI72" s="125">
        <v>400</v>
      </c>
      <c r="AJ72" s="125" t="b">
        <v>1</v>
      </c>
      <c r="AK72" s="123"/>
      <c r="AL72" s="123" t="s">
        <v>689</v>
      </c>
      <c r="AM72" s="123">
        <v>1</v>
      </c>
      <c r="AN72" s="123">
        <v>25</v>
      </c>
      <c r="AO72" s="123"/>
      <c r="AP72" s="123"/>
      <c r="AQ72" s="128" t="s">
        <v>816</v>
      </c>
    </row>
    <row r="73" spans="1:43" s="129" customFormat="1">
      <c r="A73" s="123" t="s">
        <v>808</v>
      </c>
      <c r="B73" s="123" t="s">
        <v>818</v>
      </c>
      <c r="C73" s="123"/>
      <c r="D73" s="123" t="s">
        <v>681</v>
      </c>
      <c r="E73" s="123" t="s">
        <v>686</v>
      </c>
      <c r="F73" s="123"/>
      <c r="G73" s="123"/>
      <c r="H73" s="125">
        <v>220</v>
      </c>
      <c r="I73" s="125">
        <v>400</v>
      </c>
      <c r="J73" s="123"/>
      <c r="K73" s="123"/>
      <c r="L73" s="126"/>
      <c r="M73" s="127"/>
      <c r="N73" s="123"/>
      <c r="O73" s="123"/>
      <c r="P73" s="123"/>
      <c r="Q73" s="123"/>
      <c r="R73" s="123"/>
      <c r="S73" s="123"/>
      <c r="T73" s="123"/>
      <c r="U73" s="123"/>
      <c r="V73" s="123"/>
      <c r="W73" s="123"/>
      <c r="X73" s="123"/>
      <c r="Y73" s="123"/>
      <c r="Z73" s="123"/>
      <c r="AA73" s="123" t="s">
        <v>711</v>
      </c>
      <c r="AB73" s="123" t="s">
        <v>809</v>
      </c>
      <c r="AC73" s="123" t="s">
        <v>819</v>
      </c>
      <c r="AD73" s="123" t="s">
        <v>686</v>
      </c>
      <c r="AE73" s="123"/>
      <c r="AF73" s="123"/>
      <c r="AG73" s="123" t="b">
        <v>0</v>
      </c>
      <c r="AH73" s="125">
        <v>220</v>
      </c>
      <c r="AI73" s="125">
        <v>400</v>
      </c>
      <c r="AJ73" s="125" t="b">
        <v>1</v>
      </c>
      <c r="AK73" s="123"/>
      <c r="AL73" s="123" t="s">
        <v>689</v>
      </c>
      <c r="AM73" s="123">
        <v>1</v>
      </c>
      <c r="AN73" s="123">
        <v>25</v>
      </c>
      <c r="AO73" s="123"/>
      <c r="AP73" s="123"/>
      <c r="AQ73" s="128" t="s">
        <v>820</v>
      </c>
    </row>
    <row r="74" spans="1:43" s="129" customFormat="1">
      <c r="A74" s="123" t="s">
        <v>808</v>
      </c>
      <c r="B74" s="123" t="s">
        <v>821</v>
      </c>
      <c r="C74" s="123"/>
      <c r="D74" s="123" t="s">
        <v>681</v>
      </c>
      <c r="E74" s="123" t="s">
        <v>686</v>
      </c>
      <c r="F74" s="123"/>
      <c r="G74" s="123"/>
      <c r="H74" s="125">
        <v>220</v>
      </c>
      <c r="I74" s="125">
        <v>400</v>
      </c>
      <c r="J74" s="123"/>
      <c r="K74" s="123"/>
      <c r="L74" s="126"/>
      <c r="M74" s="127"/>
      <c r="N74" s="123"/>
      <c r="O74" s="123"/>
      <c r="P74" s="123"/>
      <c r="Q74" s="123"/>
      <c r="R74" s="123"/>
      <c r="S74" s="123"/>
      <c r="T74" s="123"/>
      <c r="U74" s="123"/>
      <c r="V74" s="123"/>
      <c r="W74" s="123"/>
      <c r="X74" s="123"/>
      <c r="Y74" s="123"/>
      <c r="Z74" s="123"/>
      <c r="AA74" s="123" t="s">
        <v>711</v>
      </c>
      <c r="AB74" s="123" t="s">
        <v>809</v>
      </c>
      <c r="AC74" s="123" t="s">
        <v>822</v>
      </c>
      <c r="AD74" s="123" t="s">
        <v>686</v>
      </c>
      <c r="AE74" s="123"/>
      <c r="AF74" s="123"/>
      <c r="AG74" s="123" t="b">
        <v>1</v>
      </c>
      <c r="AH74" s="125">
        <v>220</v>
      </c>
      <c r="AI74" s="125">
        <v>400</v>
      </c>
      <c r="AJ74" s="125" t="b">
        <v>1</v>
      </c>
      <c r="AK74" s="123"/>
      <c r="AL74" s="123"/>
      <c r="AM74" s="123">
        <v>1</v>
      </c>
      <c r="AN74" s="123">
        <v>25</v>
      </c>
      <c r="AO74" s="123"/>
      <c r="AP74" s="123"/>
      <c r="AQ74" s="128" t="s">
        <v>823</v>
      </c>
    </row>
    <row r="75" spans="1:43" s="129" customFormat="1">
      <c r="A75" s="123" t="s">
        <v>808</v>
      </c>
      <c r="B75" s="123" t="s">
        <v>824</v>
      </c>
      <c r="C75" s="123"/>
      <c r="D75" s="123" t="s">
        <v>681</v>
      </c>
      <c r="E75" s="123" t="s">
        <v>686</v>
      </c>
      <c r="F75" s="123"/>
      <c r="G75" s="123"/>
      <c r="H75" s="125">
        <v>220</v>
      </c>
      <c r="I75" s="125">
        <v>400</v>
      </c>
      <c r="J75" s="123"/>
      <c r="K75" s="123"/>
      <c r="L75" s="126"/>
      <c r="M75" s="127"/>
      <c r="N75" s="123"/>
      <c r="O75" s="123"/>
      <c r="P75" s="123"/>
      <c r="Q75" s="123"/>
      <c r="R75" s="123"/>
      <c r="S75" s="123"/>
      <c r="T75" s="123"/>
      <c r="U75" s="123"/>
      <c r="V75" s="123"/>
      <c r="W75" s="123"/>
      <c r="X75" s="123"/>
      <c r="Y75" s="123"/>
      <c r="Z75" s="123"/>
      <c r="AA75" s="123" t="s">
        <v>711</v>
      </c>
      <c r="AB75" s="123" t="s">
        <v>809</v>
      </c>
      <c r="AC75" s="123" t="s">
        <v>825</v>
      </c>
      <c r="AD75" s="130" t="s">
        <v>686</v>
      </c>
      <c r="AE75" s="123"/>
      <c r="AF75" s="123"/>
      <c r="AG75" s="123" t="b">
        <v>1</v>
      </c>
      <c r="AH75" s="125">
        <v>220</v>
      </c>
      <c r="AI75" s="125">
        <v>400</v>
      </c>
      <c r="AJ75" s="125" t="b">
        <v>1</v>
      </c>
      <c r="AK75" s="123"/>
      <c r="AL75" s="123"/>
      <c r="AM75" s="123"/>
      <c r="AN75" s="123"/>
      <c r="AO75" s="123"/>
      <c r="AP75" s="123"/>
      <c r="AQ75" s="128" t="s">
        <v>826</v>
      </c>
    </row>
    <row r="76" spans="1:43" s="129" customFormat="1">
      <c r="A76" s="123" t="s">
        <v>808</v>
      </c>
      <c r="B76" s="123" t="s">
        <v>827</v>
      </c>
      <c r="C76" s="123"/>
      <c r="D76" s="123" t="s">
        <v>681</v>
      </c>
      <c r="E76" s="123" t="s">
        <v>686</v>
      </c>
      <c r="F76" s="123"/>
      <c r="G76" s="125"/>
      <c r="H76" s="125">
        <v>220</v>
      </c>
      <c r="I76" s="125">
        <v>400</v>
      </c>
      <c r="J76" s="125"/>
      <c r="K76" s="123"/>
      <c r="L76" s="126"/>
      <c r="M76" s="127"/>
      <c r="N76" s="123"/>
      <c r="O76" s="123"/>
      <c r="P76" s="123"/>
      <c r="Q76" s="123"/>
      <c r="R76" s="123"/>
      <c r="S76" s="123"/>
      <c r="T76" s="123"/>
      <c r="U76" s="123"/>
      <c r="V76" s="123"/>
      <c r="W76" s="123"/>
      <c r="X76" s="123"/>
      <c r="Y76" s="123"/>
      <c r="Z76" s="123"/>
      <c r="AA76" s="123" t="s">
        <v>711</v>
      </c>
      <c r="AB76" s="123" t="s">
        <v>809</v>
      </c>
      <c r="AC76" s="123" t="s">
        <v>828</v>
      </c>
      <c r="AD76" s="123" t="s">
        <v>686</v>
      </c>
      <c r="AE76" s="123"/>
      <c r="AF76" s="123"/>
      <c r="AG76" s="123" t="b">
        <v>1</v>
      </c>
      <c r="AH76" s="125">
        <v>220</v>
      </c>
      <c r="AI76" s="125">
        <v>400</v>
      </c>
      <c r="AJ76" s="125" t="b">
        <v>1</v>
      </c>
      <c r="AK76" s="123"/>
      <c r="AL76" s="123" t="s">
        <v>689</v>
      </c>
      <c r="AM76" s="123">
        <v>1</v>
      </c>
      <c r="AN76" s="123">
        <v>9</v>
      </c>
      <c r="AO76" s="123"/>
      <c r="AP76" s="123"/>
      <c r="AQ76" s="128" t="s">
        <v>829</v>
      </c>
    </row>
    <row r="77" spans="1:43">
      <c r="A77" s="64" t="s">
        <v>830</v>
      </c>
      <c r="B77" s="64" t="s">
        <v>187</v>
      </c>
      <c r="C77" s="64"/>
      <c r="D77" s="64" t="s">
        <v>681</v>
      </c>
      <c r="E77" s="64" t="s">
        <v>686</v>
      </c>
      <c r="F77" s="64"/>
      <c r="G77" s="64" t="s">
        <v>831</v>
      </c>
      <c r="H77" s="88">
        <v>220</v>
      </c>
      <c r="I77" s="88">
        <v>400</v>
      </c>
      <c r="J77" s="64"/>
      <c r="K77" s="64">
        <v>10</v>
      </c>
      <c r="L77" s="106"/>
      <c r="M77" s="97"/>
      <c r="N77" s="64"/>
      <c r="O77" s="64"/>
      <c r="P77" s="64"/>
      <c r="Q77" s="64"/>
      <c r="R77" s="64"/>
      <c r="S77" s="64"/>
      <c r="T77" s="64"/>
      <c r="U77" s="64"/>
      <c r="V77" s="64"/>
      <c r="W77" s="64"/>
      <c r="X77" s="64"/>
      <c r="Y77" s="64"/>
      <c r="Z77" s="64"/>
      <c r="AA77" s="64" t="s">
        <v>711</v>
      </c>
      <c r="AB77" s="64" t="s">
        <v>832</v>
      </c>
      <c r="AC77" s="64" t="s">
        <v>833</v>
      </c>
      <c r="AD77" s="64" t="s">
        <v>686</v>
      </c>
      <c r="AE77" s="64"/>
      <c r="AF77" s="64"/>
      <c r="AG77" s="64" t="b">
        <v>0</v>
      </c>
      <c r="AH77" s="88">
        <v>220</v>
      </c>
      <c r="AI77" s="88">
        <v>400</v>
      </c>
      <c r="AJ77" s="88" t="b">
        <v>1</v>
      </c>
      <c r="AK77" s="64"/>
      <c r="AL77" s="64"/>
      <c r="AM77" s="64">
        <v>1</v>
      </c>
      <c r="AN77" s="64">
        <v>3</v>
      </c>
      <c r="AO77" s="64"/>
      <c r="AP77" s="64"/>
      <c r="AQ77" s="119" t="s">
        <v>834</v>
      </c>
    </row>
    <row r="78" spans="1:43">
      <c r="A78" s="64" t="s">
        <v>830</v>
      </c>
      <c r="B78" s="64" t="s">
        <v>187</v>
      </c>
      <c r="C78" s="64"/>
      <c r="D78" s="64" t="s">
        <v>681</v>
      </c>
      <c r="E78" s="64" t="s">
        <v>686</v>
      </c>
      <c r="F78" s="64"/>
      <c r="G78" s="64" t="s">
        <v>831</v>
      </c>
      <c r="H78" s="88">
        <v>220</v>
      </c>
      <c r="I78" s="88">
        <v>400</v>
      </c>
      <c r="J78" s="64"/>
      <c r="K78" s="64">
        <v>10</v>
      </c>
      <c r="L78" s="106"/>
      <c r="M78" s="97"/>
      <c r="N78" s="64"/>
      <c r="O78" s="64"/>
      <c r="P78" s="64"/>
      <c r="Q78" s="64"/>
      <c r="R78" s="64"/>
      <c r="S78" s="64"/>
      <c r="T78" s="64"/>
      <c r="U78" s="64"/>
      <c r="V78" s="64"/>
      <c r="W78" s="64"/>
      <c r="X78" s="64"/>
      <c r="Y78" s="64"/>
      <c r="Z78" s="64"/>
      <c r="AA78" s="64" t="s">
        <v>711</v>
      </c>
      <c r="AB78" s="64" t="s">
        <v>832</v>
      </c>
      <c r="AC78" s="64" t="s">
        <v>835</v>
      </c>
      <c r="AD78" s="64" t="s">
        <v>686</v>
      </c>
      <c r="AE78" s="64"/>
      <c r="AF78" s="64"/>
      <c r="AG78" s="64" t="b">
        <v>0</v>
      </c>
      <c r="AH78" s="88">
        <v>220</v>
      </c>
      <c r="AI78" s="88">
        <v>400</v>
      </c>
      <c r="AJ78" s="88" t="b">
        <v>1</v>
      </c>
      <c r="AK78" s="64"/>
      <c r="AL78" s="64"/>
      <c r="AM78" s="64">
        <v>4</v>
      </c>
      <c r="AN78" s="64">
        <v>6</v>
      </c>
      <c r="AO78" s="64"/>
      <c r="AP78" s="64"/>
      <c r="AQ78" s="119" t="s">
        <v>836</v>
      </c>
    </row>
    <row r="79" spans="1:43">
      <c r="A79" s="64" t="s">
        <v>830</v>
      </c>
      <c r="B79" s="64" t="s">
        <v>187</v>
      </c>
      <c r="C79" s="64"/>
      <c r="D79" s="64" t="s">
        <v>681</v>
      </c>
      <c r="E79" s="64" t="s">
        <v>686</v>
      </c>
      <c r="F79" s="64"/>
      <c r="G79" s="64" t="s">
        <v>831</v>
      </c>
      <c r="H79" s="88">
        <v>220</v>
      </c>
      <c r="I79" s="88">
        <v>400</v>
      </c>
      <c r="J79" s="64"/>
      <c r="K79" s="64">
        <v>10</v>
      </c>
      <c r="L79" s="106"/>
      <c r="M79" s="97"/>
      <c r="N79" s="64"/>
      <c r="O79" s="64"/>
      <c r="P79" s="64"/>
      <c r="Q79" s="64"/>
      <c r="R79" s="64"/>
      <c r="S79" s="64"/>
      <c r="T79" s="64"/>
      <c r="U79" s="64"/>
      <c r="V79" s="64"/>
      <c r="W79" s="64"/>
      <c r="X79" s="64"/>
      <c r="Y79" s="64"/>
      <c r="Z79" s="64"/>
      <c r="AA79" s="64" t="s">
        <v>711</v>
      </c>
      <c r="AB79" s="64" t="s">
        <v>832</v>
      </c>
      <c r="AC79" s="64" t="s">
        <v>837</v>
      </c>
      <c r="AD79" s="64" t="s">
        <v>686</v>
      </c>
      <c r="AE79" s="64"/>
      <c r="AF79" s="64"/>
      <c r="AG79" s="64" t="b">
        <v>0</v>
      </c>
      <c r="AH79" s="88">
        <v>220</v>
      </c>
      <c r="AI79" s="88">
        <v>400</v>
      </c>
      <c r="AJ79" s="88" t="b">
        <v>1</v>
      </c>
      <c r="AK79" s="64"/>
      <c r="AL79" s="64"/>
      <c r="AM79" s="64">
        <v>7</v>
      </c>
      <c r="AN79" s="64">
        <v>10</v>
      </c>
      <c r="AO79" s="64"/>
      <c r="AP79" s="64"/>
      <c r="AQ79" s="119" t="s">
        <v>838</v>
      </c>
    </row>
    <row r="80" spans="1:43">
      <c r="A80" s="64" t="s">
        <v>830</v>
      </c>
      <c r="B80" s="64" t="s">
        <v>189</v>
      </c>
      <c r="C80" s="64"/>
      <c r="D80" s="64" t="s">
        <v>681</v>
      </c>
      <c r="E80" s="64" t="s">
        <v>686</v>
      </c>
      <c r="F80" s="64"/>
      <c r="G80" s="64" t="s">
        <v>831</v>
      </c>
      <c r="H80" s="88">
        <v>220</v>
      </c>
      <c r="I80" s="88">
        <v>400</v>
      </c>
      <c r="J80" s="64"/>
      <c r="K80" s="64">
        <v>10</v>
      </c>
      <c r="L80" s="106"/>
      <c r="M80" s="97"/>
      <c r="N80" s="64"/>
      <c r="O80" s="64"/>
      <c r="P80" s="64"/>
      <c r="Q80" s="64"/>
      <c r="R80" s="64"/>
      <c r="S80" s="64"/>
      <c r="T80" s="64"/>
      <c r="U80" s="64"/>
      <c r="V80" s="64"/>
      <c r="W80" s="64"/>
      <c r="X80" s="64"/>
      <c r="Y80" s="64"/>
      <c r="Z80" s="64"/>
      <c r="AA80" s="64" t="s">
        <v>711</v>
      </c>
      <c r="AB80" s="64" t="s">
        <v>832</v>
      </c>
      <c r="AC80" s="64" t="s">
        <v>839</v>
      </c>
      <c r="AD80" s="64" t="s">
        <v>686</v>
      </c>
      <c r="AE80" s="64"/>
      <c r="AF80" s="64"/>
      <c r="AG80" s="64" t="b">
        <v>0</v>
      </c>
      <c r="AH80" s="88">
        <v>220</v>
      </c>
      <c r="AI80" s="88">
        <v>400</v>
      </c>
      <c r="AJ80" s="88" t="b">
        <v>1</v>
      </c>
      <c r="AK80" s="64"/>
      <c r="AL80" s="64"/>
      <c r="AM80" s="64">
        <v>1</v>
      </c>
      <c r="AN80" s="64">
        <v>3</v>
      </c>
      <c r="AO80" s="64"/>
      <c r="AP80" s="64"/>
      <c r="AQ80" s="119" t="s">
        <v>840</v>
      </c>
    </row>
    <row r="81" spans="1:43">
      <c r="A81" s="64" t="s">
        <v>830</v>
      </c>
      <c r="B81" s="64" t="s">
        <v>189</v>
      </c>
      <c r="C81" s="64"/>
      <c r="D81" s="64" t="s">
        <v>681</v>
      </c>
      <c r="E81" s="64" t="s">
        <v>686</v>
      </c>
      <c r="F81" s="64"/>
      <c r="G81" s="64" t="s">
        <v>831</v>
      </c>
      <c r="H81" s="88">
        <v>220</v>
      </c>
      <c r="I81" s="88">
        <v>400</v>
      </c>
      <c r="J81" s="64"/>
      <c r="K81" s="64">
        <v>10</v>
      </c>
      <c r="L81" s="106"/>
      <c r="M81" s="97"/>
      <c r="N81" s="64"/>
      <c r="O81" s="64"/>
      <c r="P81" s="64"/>
      <c r="Q81" s="64"/>
      <c r="R81" s="64"/>
      <c r="S81" s="64"/>
      <c r="T81" s="64"/>
      <c r="U81" s="64"/>
      <c r="V81" s="64"/>
      <c r="W81" s="64"/>
      <c r="X81" s="64"/>
      <c r="Y81" s="64"/>
      <c r="Z81" s="64"/>
      <c r="AA81" s="64" t="s">
        <v>711</v>
      </c>
      <c r="AB81" s="64" t="s">
        <v>832</v>
      </c>
      <c r="AC81" s="64" t="s">
        <v>841</v>
      </c>
      <c r="AD81" s="64" t="s">
        <v>686</v>
      </c>
      <c r="AE81" s="64"/>
      <c r="AF81" s="64"/>
      <c r="AG81" s="64" t="b">
        <v>0</v>
      </c>
      <c r="AH81" s="88">
        <v>220</v>
      </c>
      <c r="AI81" s="88">
        <v>400</v>
      </c>
      <c r="AJ81" s="88" t="b">
        <v>1</v>
      </c>
      <c r="AK81" s="64"/>
      <c r="AL81" s="64"/>
      <c r="AM81" s="64">
        <v>4</v>
      </c>
      <c r="AN81" s="64">
        <v>6</v>
      </c>
      <c r="AO81" s="64"/>
      <c r="AP81" s="64"/>
      <c r="AQ81" s="119" t="s">
        <v>842</v>
      </c>
    </row>
    <row r="82" spans="1:43">
      <c r="A82" s="64" t="s">
        <v>830</v>
      </c>
      <c r="B82" s="64" t="s">
        <v>189</v>
      </c>
      <c r="C82" s="64"/>
      <c r="D82" s="64" t="s">
        <v>681</v>
      </c>
      <c r="E82" s="64" t="s">
        <v>686</v>
      </c>
      <c r="F82" s="64"/>
      <c r="G82" s="64" t="s">
        <v>831</v>
      </c>
      <c r="H82" s="88">
        <v>220</v>
      </c>
      <c r="I82" s="88">
        <v>400</v>
      </c>
      <c r="J82" s="64"/>
      <c r="K82" s="64">
        <v>10</v>
      </c>
      <c r="L82" s="106"/>
      <c r="M82" s="97"/>
      <c r="N82" s="64"/>
      <c r="O82" s="64"/>
      <c r="P82" s="64"/>
      <c r="Q82" s="64"/>
      <c r="R82" s="64"/>
      <c r="S82" s="64"/>
      <c r="T82" s="64"/>
      <c r="U82" s="64"/>
      <c r="V82" s="64"/>
      <c r="W82" s="64"/>
      <c r="X82" s="64"/>
      <c r="Y82" s="64"/>
      <c r="Z82" s="64"/>
      <c r="AA82" s="64" t="s">
        <v>711</v>
      </c>
      <c r="AB82" s="64" t="s">
        <v>832</v>
      </c>
      <c r="AC82" s="64" t="s">
        <v>843</v>
      </c>
      <c r="AD82" s="64" t="s">
        <v>686</v>
      </c>
      <c r="AE82" s="64"/>
      <c r="AF82" s="64"/>
      <c r="AG82" s="64" t="b">
        <v>0</v>
      </c>
      <c r="AH82" s="88">
        <v>220</v>
      </c>
      <c r="AI82" s="88">
        <v>400</v>
      </c>
      <c r="AJ82" s="88" t="b">
        <v>1</v>
      </c>
      <c r="AK82" s="64"/>
      <c r="AL82" s="64"/>
      <c r="AM82" s="64">
        <v>7</v>
      </c>
      <c r="AN82" s="64">
        <v>10</v>
      </c>
      <c r="AO82" s="64"/>
      <c r="AP82" s="64"/>
      <c r="AQ82" s="119" t="s">
        <v>844</v>
      </c>
    </row>
    <row r="83" spans="1:43">
      <c r="A83" s="64" t="s">
        <v>830</v>
      </c>
      <c r="B83" s="64" t="s">
        <v>191</v>
      </c>
      <c r="C83" s="64"/>
      <c r="D83" s="64" t="s">
        <v>681</v>
      </c>
      <c r="E83" s="64" t="s">
        <v>686</v>
      </c>
      <c r="F83" s="64"/>
      <c r="G83" s="64" t="s">
        <v>831</v>
      </c>
      <c r="H83" s="88">
        <v>220</v>
      </c>
      <c r="I83" s="88">
        <v>400</v>
      </c>
      <c r="J83" s="64"/>
      <c r="K83" s="64">
        <v>10</v>
      </c>
      <c r="L83" s="106"/>
      <c r="M83" s="97"/>
      <c r="N83" s="64"/>
      <c r="O83" s="64"/>
      <c r="P83" s="64"/>
      <c r="Q83" s="64"/>
      <c r="R83" s="64"/>
      <c r="S83" s="64"/>
      <c r="T83" s="64"/>
      <c r="U83" s="64"/>
      <c r="V83" s="64"/>
      <c r="W83" s="64"/>
      <c r="X83" s="64"/>
      <c r="Y83" s="64"/>
      <c r="Z83" s="64"/>
      <c r="AA83" s="64" t="s">
        <v>711</v>
      </c>
      <c r="AB83" s="64" t="s">
        <v>832</v>
      </c>
      <c r="AC83" s="64" t="s">
        <v>845</v>
      </c>
      <c r="AD83" s="64" t="s">
        <v>686</v>
      </c>
      <c r="AE83" s="64"/>
      <c r="AF83" s="64"/>
      <c r="AG83" s="64" t="b">
        <v>0</v>
      </c>
      <c r="AH83" s="88">
        <v>220</v>
      </c>
      <c r="AI83" s="88">
        <v>400</v>
      </c>
      <c r="AJ83" s="88" t="b">
        <v>1</v>
      </c>
      <c r="AK83" s="64"/>
      <c r="AL83" s="64"/>
      <c r="AM83" s="64">
        <v>1</v>
      </c>
      <c r="AN83" s="64">
        <v>3</v>
      </c>
      <c r="AO83" s="64"/>
      <c r="AP83" s="64"/>
      <c r="AQ83" s="119"/>
    </row>
    <row r="84" spans="1:43">
      <c r="A84" s="64" t="s">
        <v>830</v>
      </c>
      <c r="B84" s="64" t="s">
        <v>191</v>
      </c>
      <c r="C84" s="64"/>
      <c r="D84" s="64" t="s">
        <v>681</v>
      </c>
      <c r="E84" s="64" t="s">
        <v>686</v>
      </c>
      <c r="F84" s="64"/>
      <c r="G84" s="64" t="s">
        <v>831</v>
      </c>
      <c r="H84" s="88">
        <v>220</v>
      </c>
      <c r="I84" s="88">
        <v>400</v>
      </c>
      <c r="J84" s="64"/>
      <c r="K84" s="64">
        <v>10</v>
      </c>
      <c r="L84" s="106"/>
      <c r="M84" s="97"/>
      <c r="N84" s="64"/>
      <c r="O84" s="64"/>
      <c r="P84" s="64"/>
      <c r="Q84" s="64"/>
      <c r="R84" s="64"/>
      <c r="S84" s="64"/>
      <c r="T84" s="64"/>
      <c r="U84" s="64"/>
      <c r="V84" s="64"/>
      <c r="W84" s="64"/>
      <c r="X84" s="64"/>
      <c r="Y84" s="64"/>
      <c r="Z84" s="64"/>
      <c r="AA84" s="64" t="s">
        <v>711</v>
      </c>
      <c r="AB84" s="64" t="s">
        <v>832</v>
      </c>
      <c r="AC84" s="64" t="s">
        <v>846</v>
      </c>
      <c r="AD84" s="64" t="s">
        <v>686</v>
      </c>
      <c r="AE84" s="64"/>
      <c r="AF84" s="64"/>
      <c r="AG84" s="64" t="b">
        <v>0</v>
      </c>
      <c r="AH84" s="88">
        <v>220</v>
      </c>
      <c r="AI84" s="88">
        <v>400</v>
      </c>
      <c r="AJ84" s="88" t="b">
        <v>1</v>
      </c>
      <c r="AK84" s="64"/>
      <c r="AL84" s="64"/>
      <c r="AM84" s="64">
        <v>4</v>
      </c>
      <c r="AN84" s="64">
        <v>6</v>
      </c>
      <c r="AO84" s="64"/>
      <c r="AP84" s="64"/>
      <c r="AQ84" s="119"/>
    </row>
    <row r="85" spans="1:43">
      <c r="A85" s="64" t="s">
        <v>830</v>
      </c>
      <c r="B85" s="64" t="s">
        <v>191</v>
      </c>
      <c r="C85" s="64"/>
      <c r="D85" s="64" t="s">
        <v>681</v>
      </c>
      <c r="E85" s="64" t="s">
        <v>686</v>
      </c>
      <c r="F85" s="64"/>
      <c r="G85" s="64" t="s">
        <v>831</v>
      </c>
      <c r="H85" s="88">
        <v>220</v>
      </c>
      <c r="I85" s="88">
        <v>400</v>
      </c>
      <c r="J85" s="64"/>
      <c r="K85" s="64">
        <v>10</v>
      </c>
      <c r="L85" s="106"/>
      <c r="M85" s="97"/>
      <c r="N85" s="64"/>
      <c r="O85" s="64"/>
      <c r="P85" s="64"/>
      <c r="Q85" s="64"/>
      <c r="R85" s="64"/>
      <c r="S85" s="64"/>
      <c r="T85" s="64"/>
      <c r="U85" s="64"/>
      <c r="V85" s="64"/>
      <c r="W85" s="64"/>
      <c r="X85" s="64"/>
      <c r="Y85" s="64"/>
      <c r="Z85" s="64"/>
      <c r="AA85" s="64" t="s">
        <v>711</v>
      </c>
      <c r="AB85" s="64" t="s">
        <v>832</v>
      </c>
      <c r="AC85" s="64" t="s">
        <v>847</v>
      </c>
      <c r="AD85" s="64" t="s">
        <v>686</v>
      </c>
      <c r="AE85" s="64"/>
      <c r="AF85" s="64"/>
      <c r="AG85" s="64" t="b">
        <v>0</v>
      </c>
      <c r="AH85" s="88">
        <v>220</v>
      </c>
      <c r="AI85" s="88">
        <v>400</v>
      </c>
      <c r="AJ85" s="88" t="b">
        <v>1</v>
      </c>
      <c r="AK85" s="64"/>
      <c r="AL85" s="64"/>
      <c r="AM85" s="64">
        <v>7</v>
      </c>
      <c r="AN85" s="64">
        <v>10</v>
      </c>
      <c r="AO85" s="64"/>
      <c r="AP85" s="64"/>
      <c r="AQ85" s="119"/>
    </row>
    <row r="86" spans="1:43">
      <c r="A86" s="64" t="s">
        <v>166</v>
      </c>
      <c r="B86" s="64" t="s">
        <v>166</v>
      </c>
      <c r="C86" s="64"/>
      <c r="D86" s="64" t="s">
        <v>166</v>
      </c>
      <c r="E86" s="64"/>
      <c r="F86" s="64"/>
      <c r="G86" s="64"/>
      <c r="H86" s="64"/>
      <c r="I86" s="64"/>
      <c r="J86" s="64"/>
      <c r="K86" s="64"/>
      <c r="L86" s="106"/>
      <c r="M86" s="97"/>
      <c r="N86" s="64"/>
      <c r="O86" s="64"/>
      <c r="P86" s="64"/>
      <c r="Q86" s="64"/>
      <c r="R86" s="64"/>
      <c r="S86" s="64"/>
      <c r="T86" s="64"/>
      <c r="U86" s="64"/>
      <c r="V86" s="64"/>
      <c r="W86" s="64"/>
      <c r="X86" s="64"/>
      <c r="Y86" s="64"/>
      <c r="Z86" s="64"/>
      <c r="AA86" s="64" t="s">
        <v>711</v>
      </c>
      <c r="AB86" s="64" t="s">
        <v>832</v>
      </c>
      <c r="AC86" s="64" t="s">
        <v>848</v>
      </c>
      <c r="AD86" s="64" t="s">
        <v>686</v>
      </c>
      <c r="AE86" s="64"/>
      <c r="AF86" s="64"/>
      <c r="AG86" s="64" t="b">
        <v>0</v>
      </c>
      <c r="AH86" s="64">
        <v>220</v>
      </c>
      <c r="AI86" s="88">
        <v>400</v>
      </c>
      <c r="AJ86" s="88" t="b">
        <v>1</v>
      </c>
      <c r="AK86" s="64"/>
      <c r="AL86" s="64"/>
      <c r="AM86" s="64"/>
      <c r="AN86" s="64"/>
      <c r="AO86" s="64"/>
      <c r="AP86" s="64"/>
      <c r="AQ86" s="119"/>
    </row>
    <row r="87" spans="1:43">
      <c r="A87" s="64" t="s">
        <v>166</v>
      </c>
      <c r="B87" s="64" t="s">
        <v>166</v>
      </c>
      <c r="C87" s="64"/>
      <c r="D87" s="64" t="s">
        <v>166</v>
      </c>
      <c r="E87" s="64"/>
      <c r="F87" s="64"/>
      <c r="G87" s="64"/>
      <c r="H87" s="64"/>
      <c r="I87" s="64"/>
      <c r="J87" s="64"/>
      <c r="K87" s="64"/>
      <c r="L87" s="106"/>
      <c r="M87" s="97"/>
      <c r="N87" s="64"/>
      <c r="O87" s="64"/>
      <c r="P87" s="64"/>
      <c r="Q87" s="64"/>
      <c r="R87" s="64"/>
      <c r="S87" s="64"/>
      <c r="T87" s="64"/>
      <c r="U87" s="64"/>
      <c r="V87" s="64"/>
      <c r="W87" s="64"/>
      <c r="X87" s="64"/>
      <c r="Y87" s="64"/>
      <c r="Z87" s="64"/>
      <c r="AA87" s="64" t="s">
        <v>711</v>
      </c>
      <c r="AB87" s="64" t="s">
        <v>832</v>
      </c>
      <c r="AC87" s="64" t="s">
        <v>849</v>
      </c>
      <c r="AD87" s="64" t="s">
        <v>686</v>
      </c>
      <c r="AE87" s="64"/>
      <c r="AF87" s="64"/>
      <c r="AG87" s="64" t="b">
        <v>0</v>
      </c>
      <c r="AH87" s="64">
        <v>220</v>
      </c>
      <c r="AI87" s="88">
        <v>400</v>
      </c>
      <c r="AJ87" s="88" t="b">
        <v>1</v>
      </c>
      <c r="AK87" s="64"/>
      <c r="AL87" s="64"/>
      <c r="AM87" s="64">
        <v>1</v>
      </c>
      <c r="AN87" s="64">
        <v>3</v>
      </c>
      <c r="AO87" s="64"/>
      <c r="AP87" s="64"/>
      <c r="AQ87" s="119"/>
    </row>
    <row r="88" spans="1:43">
      <c r="A88" s="64" t="s">
        <v>166</v>
      </c>
      <c r="B88" s="64" t="s">
        <v>166</v>
      </c>
      <c r="C88" s="64"/>
      <c r="D88" s="64" t="s">
        <v>166</v>
      </c>
      <c r="E88" s="64"/>
      <c r="F88" s="64"/>
      <c r="G88" s="64"/>
      <c r="H88" s="64"/>
      <c r="I88" s="64"/>
      <c r="J88" s="64"/>
      <c r="K88" s="64"/>
      <c r="L88" s="106"/>
      <c r="M88" s="97"/>
      <c r="N88" s="64"/>
      <c r="O88" s="64"/>
      <c r="P88" s="64"/>
      <c r="Q88" s="64"/>
      <c r="R88" s="64"/>
      <c r="S88" s="64"/>
      <c r="T88" s="64"/>
      <c r="U88" s="64"/>
      <c r="V88" s="64"/>
      <c r="W88" s="64"/>
      <c r="X88" s="64"/>
      <c r="Y88" s="64"/>
      <c r="Z88" s="64"/>
      <c r="AA88" s="64" t="s">
        <v>711</v>
      </c>
      <c r="AB88" s="64" t="s">
        <v>832</v>
      </c>
      <c r="AC88" s="64" t="s">
        <v>850</v>
      </c>
      <c r="AD88" s="64" t="s">
        <v>686</v>
      </c>
      <c r="AE88" s="64"/>
      <c r="AF88" s="64"/>
      <c r="AG88" s="64" t="b">
        <v>0</v>
      </c>
      <c r="AH88" s="64">
        <v>220</v>
      </c>
      <c r="AI88" s="88">
        <v>400</v>
      </c>
      <c r="AJ88" s="88" t="b">
        <v>1</v>
      </c>
      <c r="AK88" s="64"/>
      <c r="AL88" s="64"/>
      <c r="AM88" s="64">
        <v>4</v>
      </c>
      <c r="AN88" s="64">
        <v>6</v>
      </c>
      <c r="AO88" s="64"/>
      <c r="AP88" s="64"/>
      <c r="AQ88" s="119"/>
    </row>
    <row r="89" spans="1:43">
      <c r="A89" s="64" t="s">
        <v>166</v>
      </c>
      <c r="B89" s="64" t="s">
        <v>166</v>
      </c>
      <c r="C89" s="64"/>
      <c r="D89" s="64" t="s">
        <v>166</v>
      </c>
      <c r="E89" s="64"/>
      <c r="F89" s="64"/>
      <c r="G89" s="64"/>
      <c r="H89" s="64"/>
      <c r="I89" s="64"/>
      <c r="J89" s="64"/>
      <c r="K89" s="64"/>
      <c r="L89" s="106"/>
      <c r="M89" s="97"/>
      <c r="N89" s="64"/>
      <c r="O89" s="64"/>
      <c r="P89" s="64"/>
      <c r="Q89" s="64"/>
      <c r="R89" s="64"/>
      <c r="S89" s="64"/>
      <c r="T89" s="64"/>
      <c r="U89" s="64"/>
      <c r="V89" s="64"/>
      <c r="W89" s="64"/>
      <c r="X89" s="64"/>
      <c r="Y89" s="64"/>
      <c r="Z89" s="64"/>
      <c r="AA89" s="64" t="s">
        <v>711</v>
      </c>
      <c r="AB89" s="64" t="s">
        <v>832</v>
      </c>
      <c r="AC89" s="64" t="s">
        <v>851</v>
      </c>
      <c r="AD89" s="64" t="s">
        <v>686</v>
      </c>
      <c r="AE89" s="64"/>
      <c r="AF89" s="64"/>
      <c r="AG89" s="64" t="b">
        <v>0</v>
      </c>
      <c r="AH89" s="64">
        <v>220</v>
      </c>
      <c r="AI89" s="88">
        <v>400</v>
      </c>
      <c r="AJ89" s="88" t="b">
        <v>1</v>
      </c>
      <c r="AK89" s="64"/>
      <c r="AL89" s="64"/>
      <c r="AM89" s="64">
        <v>7</v>
      </c>
      <c r="AN89" s="64">
        <v>10</v>
      </c>
      <c r="AO89" s="64"/>
      <c r="AP89" s="64"/>
      <c r="AQ89" s="119"/>
    </row>
    <row r="90" spans="1:43">
      <c r="A90" s="84" t="s">
        <v>830</v>
      </c>
      <c r="B90" s="84" t="s">
        <v>197</v>
      </c>
      <c r="C90" s="84"/>
      <c r="D90" s="84" t="s">
        <v>443</v>
      </c>
      <c r="E90" s="84" t="s">
        <v>682</v>
      </c>
      <c r="F90" s="84"/>
      <c r="G90" s="90" t="s">
        <v>754</v>
      </c>
      <c r="H90" s="90">
        <v>220</v>
      </c>
      <c r="I90" s="90">
        <v>400</v>
      </c>
      <c r="J90" s="90"/>
      <c r="K90" s="84"/>
      <c r="L90" s="107"/>
      <c r="M90" s="98"/>
      <c r="N90" s="84"/>
      <c r="O90" s="84"/>
      <c r="P90" s="84"/>
      <c r="Q90" s="84"/>
      <c r="R90" s="84"/>
      <c r="S90" s="84"/>
      <c r="T90" s="84"/>
      <c r="U90" s="84"/>
      <c r="V90" s="84"/>
      <c r="W90" s="84"/>
      <c r="X90" s="84"/>
      <c r="Y90" s="84"/>
      <c r="Z90" s="84"/>
      <c r="AA90" s="84" t="s">
        <v>711</v>
      </c>
      <c r="AB90" s="84" t="s">
        <v>832</v>
      </c>
      <c r="AC90" s="84" t="s">
        <v>852</v>
      </c>
      <c r="AD90" s="84" t="s">
        <v>853</v>
      </c>
      <c r="AE90" s="84"/>
      <c r="AF90" s="84"/>
      <c r="AG90" s="84" t="b">
        <v>0</v>
      </c>
      <c r="AH90" s="90">
        <v>220</v>
      </c>
      <c r="AI90" s="90">
        <v>400</v>
      </c>
      <c r="AJ90" s="90" t="b">
        <v>1</v>
      </c>
      <c r="AK90" s="84"/>
      <c r="AL90" s="84"/>
      <c r="AM90" s="84">
        <v>1</v>
      </c>
      <c r="AN90" s="84">
        <v>50</v>
      </c>
      <c r="AO90" s="84"/>
      <c r="AP90" s="84"/>
      <c r="AQ90" s="120" t="s">
        <v>854</v>
      </c>
    </row>
    <row r="91" spans="1:43">
      <c r="A91" s="86" t="s">
        <v>830</v>
      </c>
      <c r="B91" s="86" t="s">
        <v>195</v>
      </c>
      <c r="C91" s="86"/>
      <c r="D91" s="86" t="s">
        <v>443</v>
      </c>
      <c r="E91" s="86" t="s">
        <v>853</v>
      </c>
      <c r="F91" s="86"/>
      <c r="G91" s="86"/>
      <c r="H91" s="92">
        <v>220</v>
      </c>
      <c r="I91" s="92">
        <v>400</v>
      </c>
      <c r="J91" s="86"/>
      <c r="K91" s="86"/>
      <c r="L91" s="104">
        <v>50</v>
      </c>
      <c r="M91" s="99"/>
      <c r="N91" s="86"/>
      <c r="O91" s="86"/>
      <c r="P91" s="86"/>
      <c r="Q91" s="86"/>
      <c r="R91" s="86"/>
      <c r="S91" s="86"/>
      <c r="T91" s="86"/>
      <c r="U91" s="86"/>
      <c r="V91" s="86"/>
      <c r="W91" s="86"/>
      <c r="X91" s="86"/>
      <c r="Y91" s="86"/>
      <c r="Z91" s="86"/>
      <c r="AA91" s="86"/>
      <c r="AB91" s="86"/>
      <c r="AC91" s="86"/>
      <c r="AD91" s="86"/>
      <c r="AE91" s="86"/>
      <c r="AF91" s="86"/>
      <c r="AG91" s="86"/>
      <c r="AH91" s="92"/>
      <c r="AI91" s="86"/>
      <c r="AJ91" s="86"/>
      <c r="AK91" s="86"/>
      <c r="AL91" s="86"/>
      <c r="AM91" s="86"/>
      <c r="AN91" s="86"/>
      <c r="AO91" s="86"/>
      <c r="AP91" s="86"/>
      <c r="AQ91" s="121"/>
    </row>
    <row r="92" spans="1:43">
      <c r="A92" s="85" t="s">
        <v>830</v>
      </c>
      <c r="B92" s="85" t="s">
        <v>193</v>
      </c>
      <c r="C92" s="85"/>
      <c r="D92" s="85" t="s">
        <v>443</v>
      </c>
      <c r="E92" s="85" t="s">
        <v>853</v>
      </c>
      <c r="F92" s="85"/>
      <c r="G92" s="85"/>
      <c r="H92" s="94">
        <v>220</v>
      </c>
      <c r="I92" s="94">
        <v>400</v>
      </c>
      <c r="J92" s="85"/>
      <c r="K92" s="85"/>
      <c r="L92" s="105">
        <v>50</v>
      </c>
      <c r="M92" s="100"/>
      <c r="N92" s="85"/>
      <c r="O92" s="85"/>
      <c r="P92" s="85"/>
      <c r="Q92" s="85"/>
      <c r="R92" s="85"/>
      <c r="S92" s="85"/>
      <c r="T92" s="85"/>
      <c r="U92" s="85"/>
      <c r="V92" s="85"/>
      <c r="W92" s="85"/>
      <c r="X92" s="85"/>
      <c r="Y92" s="85"/>
      <c r="Z92" s="85"/>
      <c r="AA92" s="85"/>
      <c r="AB92" s="85"/>
      <c r="AC92" s="85"/>
      <c r="AD92" s="85"/>
      <c r="AE92" s="85"/>
      <c r="AF92" s="85"/>
      <c r="AG92" s="85"/>
      <c r="AH92" s="94"/>
      <c r="AI92" s="85"/>
      <c r="AJ92" s="85"/>
      <c r="AK92" s="85"/>
      <c r="AL92" s="85"/>
      <c r="AM92" s="85"/>
      <c r="AN92" s="85"/>
      <c r="AO92" s="85"/>
      <c r="AP92" s="85"/>
      <c r="AQ92" s="122"/>
    </row>
    <row r="93" spans="1:43">
      <c r="A93" s="64" t="s">
        <v>166</v>
      </c>
      <c r="B93" s="64" t="s">
        <v>166</v>
      </c>
      <c r="C93" s="64"/>
      <c r="D93" s="64" t="s">
        <v>166</v>
      </c>
      <c r="E93" s="64"/>
      <c r="F93" s="64"/>
      <c r="G93" s="64"/>
      <c r="H93" s="64"/>
      <c r="I93" s="64"/>
      <c r="J93" s="64"/>
      <c r="K93" s="64"/>
      <c r="L93" s="106"/>
      <c r="M93" s="97"/>
      <c r="N93" s="64"/>
      <c r="O93" s="64"/>
      <c r="P93" s="64"/>
      <c r="Q93" s="64"/>
      <c r="R93" s="64"/>
      <c r="S93" s="64"/>
      <c r="T93" s="64"/>
      <c r="U93" s="64"/>
      <c r="V93" s="64"/>
      <c r="W93" s="64"/>
      <c r="X93" s="64"/>
      <c r="Y93" s="64"/>
      <c r="Z93" s="64"/>
      <c r="AA93" s="64" t="s">
        <v>855</v>
      </c>
      <c r="AB93" s="64" t="s">
        <v>856</v>
      </c>
      <c r="AC93" s="64" t="s">
        <v>857</v>
      </c>
      <c r="AD93" s="64" t="s">
        <v>682</v>
      </c>
      <c r="AE93" s="64"/>
      <c r="AF93" s="64"/>
      <c r="AG93" s="64" t="b">
        <v>1</v>
      </c>
      <c r="AH93" s="64">
        <v>220</v>
      </c>
      <c r="AI93" s="88">
        <v>400</v>
      </c>
      <c r="AJ93" s="88" t="b">
        <v>1</v>
      </c>
      <c r="AK93" s="64"/>
      <c r="AL93" s="64"/>
      <c r="AM93" s="64"/>
      <c r="AN93" s="64"/>
      <c r="AO93" s="64"/>
      <c r="AP93" s="64"/>
      <c r="AQ93" s="119" t="s">
        <v>858</v>
      </c>
    </row>
    <row r="94" spans="1:43">
      <c r="A94" s="64" t="s">
        <v>166</v>
      </c>
      <c r="B94" s="64" t="s">
        <v>166</v>
      </c>
      <c r="C94" s="64"/>
      <c r="D94" s="64" t="s">
        <v>166</v>
      </c>
      <c r="E94" s="64"/>
      <c r="F94" s="64"/>
      <c r="G94" s="64"/>
      <c r="H94" s="64"/>
      <c r="I94" s="64"/>
      <c r="J94" s="64"/>
      <c r="K94" s="64"/>
      <c r="L94" s="106"/>
      <c r="M94" s="97"/>
      <c r="N94" s="64"/>
      <c r="O94" s="64"/>
      <c r="P94" s="64"/>
      <c r="Q94" s="64"/>
      <c r="R94" s="64"/>
      <c r="S94" s="64"/>
      <c r="T94" s="64"/>
      <c r="U94" s="64"/>
      <c r="V94" s="64"/>
      <c r="W94" s="64"/>
      <c r="X94" s="64"/>
      <c r="Y94" s="64"/>
      <c r="Z94" s="64"/>
      <c r="AA94" s="64" t="s">
        <v>855</v>
      </c>
      <c r="AB94" s="64" t="s">
        <v>856</v>
      </c>
      <c r="AC94" s="64" t="s">
        <v>859</v>
      </c>
      <c r="AD94" s="64" t="s">
        <v>686</v>
      </c>
      <c r="AE94" s="64"/>
      <c r="AF94" s="64"/>
      <c r="AG94" s="64" t="b">
        <v>1</v>
      </c>
      <c r="AH94" s="64">
        <v>220</v>
      </c>
      <c r="AI94" s="88">
        <v>400</v>
      </c>
      <c r="AJ94" s="88" t="b">
        <v>1</v>
      </c>
      <c r="AK94" s="64"/>
      <c r="AL94" s="64"/>
      <c r="AM94" s="64"/>
      <c r="AN94" s="64"/>
      <c r="AO94" s="64"/>
      <c r="AP94" s="64"/>
      <c r="AQ94" s="119"/>
    </row>
    <row r="95" spans="1:43">
      <c r="A95" s="64" t="s">
        <v>166</v>
      </c>
      <c r="B95" s="64" t="s">
        <v>166</v>
      </c>
      <c r="C95" s="64"/>
      <c r="D95" s="64" t="s">
        <v>166</v>
      </c>
      <c r="E95" s="64"/>
      <c r="F95" s="64"/>
      <c r="G95" s="64"/>
      <c r="H95" s="64"/>
      <c r="I95" s="64"/>
      <c r="J95" s="64"/>
      <c r="K95" s="64"/>
      <c r="L95" s="106"/>
      <c r="M95" s="97"/>
      <c r="N95" s="64"/>
      <c r="O95" s="64"/>
      <c r="P95" s="64"/>
      <c r="Q95" s="64"/>
      <c r="R95" s="64"/>
      <c r="S95" s="64"/>
      <c r="T95" s="64"/>
      <c r="U95" s="64"/>
      <c r="V95" s="64"/>
      <c r="W95" s="64"/>
      <c r="X95" s="64"/>
      <c r="Y95" s="64"/>
      <c r="Z95" s="64"/>
      <c r="AA95" s="64" t="s">
        <v>855</v>
      </c>
      <c r="AB95" s="64" t="s">
        <v>856</v>
      </c>
      <c r="AC95" s="64" t="s">
        <v>860</v>
      </c>
      <c r="AD95" s="64" t="s">
        <v>686</v>
      </c>
      <c r="AE95" s="64"/>
      <c r="AF95" s="64"/>
      <c r="AG95" s="64" t="b">
        <v>0</v>
      </c>
      <c r="AH95" s="64">
        <v>220</v>
      </c>
      <c r="AI95" s="88">
        <v>400</v>
      </c>
      <c r="AJ95" s="88" t="b">
        <v>1</v>
      </c>
      <c r="AK95" s="64"/>
      <c r="AL95" s="64"/>
      <c r="AM95" s="64"/>
      <c r="AN95" s="64"/>
      <c r="AO95" s="64"/>
      <c r="AP95" s="64"/>
      <c r="AQ95" s="119" t="s">
        <v>861</v>
      </c>
    </row>
    <row r="96" spans="1:43" ht="30">
      <c r="A96" s="64" t="s">
        <v>166</v>
      </c>
      <c r="B96" s="64" t="s">
        <v>166</v>
      </c>
      <c r="C96" s="64"/>
      <c r="D96" s="64" t="s">
        <v>166</v>
      </c>
      <c r="E96" s="64"/>
      <c r="F96" s="64"/>
      <c r="G96" s="64"/>
      <c r="H96" s="64"/>
      <c r="I96" s="64"/>
      <c r="J96" s="64"/>
      <c r="K96" s="64"/>
      <c r="L96" s="106"/>
      <c r="M96" s="97"/>
      <c r="N96" s="64"/>
      <c r="O96" s="64"/>
      <c r="P96" s="64"/>
      <c r="Q96" s="64"/>
      <c r="R96" s="64"/>
      <c r="S96" s="64"/>
      <c r="T96" s="64"/>
      <c r="U96" s="64"/>
      <c r="V96" s="64"/>
      <c r="W96" s="64"/>
      <c r="X96" s="64"/>
      <c r="Y96" s="64"/>
      <c r="Z96" s="64"/>
      <c r="AA96" s="64" t="s">
        <v>855</v>
      </c>
      <c r="AB96" s="64" t="s">
        <v>862</v>
      </c>
      <c r="AC96" s="64" t="s">
        <v>863</v>
      </c>
      <c r="AD96" s="64" t="s">
        <v>682</v>
      </c>
      <c r="AE96" s="64"/>
      <c r="AF96" s="64"/>
      <c r="AG96" s="64" t="b">
        <v>0</v>
      </c>
      <c r="AH96" s="64">
        <v>220</v>
      </c>
      <c r="AI96" s="88">
        <v>400</v>
      </c>
      <c r="AJ96" s="88" t="b">
        <v>0</v>
      </c>
      <c r="AK96" s="64"/>
      <c r="AL96" s="64"/>
      <c r="AM96" s="64"/>
      <c r="AN96" s="64"/>
      <c r="AO96" s="64"/>
      <c r="AP96" s="64"/>
      <c r="AQ96" s="119" t="s">
        <v>864</v>
      </c>
    </row>
    <row r="97" spans="1:43">
      <c r="A97" s="84" t="s">
        <v>716</v>
      </c>
      <c r="B97" s="84" t="s">
        <v>865</v>
      </c>
      <c r="C97" s="84"/>
      <c r="D97" s="84" t="s">
        <v>681</v>
      </c>
      <c r="E97" s="84" t="s">
        <v>682</v>
      </c>
      <c r="F97" s="84"/>
      <c r="G97" s="84"/>
      <c r="H97" s="90">
        <v>220</v>
      </c>
      <c r="I97" s="90">
        <v>280</v>
      </c>
      <c r="J97" s="84"/>
      <c r="K97" s="84"/>
      <c r="L97" s="107"/>
      <c r="M97" s="98"/>
      <c r="N97" s="84"/>
      <c r="O97" s="84"/>
      <c r="P97" s="84"/>
      <c r="Q97" s="84"/>
      <c r="R97" s="84"/>
      <c r="S97" s="84"/>
      <c r="T97" s="84"/>
      <c r="U97" s="84"/>
      <c r="V97" s="84"/>
      <c r="W97" s="84"/>
      <c r="X97" s="84"/>
      <c r="Y97" s="84"/>
      <c r="Z97" s="84"/>
      <c r="AA97" s="84" t="s">
        <v>866</v>
      </c>
      <c r="AB97" s="84" t="s">
        <v>867</v>
      </c>
      <c r="AC97" s="84" t="s">
        <v>868</v>
      </c>
      <c r="AD97" s="84" t="s">
        <v>682</v>
      </c>
      <c r="AE97" s="84"/>
      <c r="AF97" s="84"/>
      <c r="AG97" s="84" t="b">
        <v>0</v>
      </c>
      <c r="AH97" s="90">
        <v>220</v>
      </c>
      <c r="AI97" s="90">
        <v>400</v>
      </c>
      <c r="AJ97" s="90" t="b">
        <v>0</v>
      </c>
      <c r="AK97" s="84"/>
      <c r="AL97" s="84"/>
      <c r="AM97" s="84"/>
      <c r="AN97" s="84"/>
      <c r="AO97" s="84"/>
      <c r="AP97" s="84"/>
      <c r="AQ97" s="120" t="s">
        <v>869</v>
      </c>
    </row>
    <row r="98" spans="1:43">
      <c r="A98" s="86" t="s">
        <v>716</v>
      </c>
      <c r="B98" s="86" t="s">
        <v>166</v>
      </c>
      <c r="C98" s="86"/>
      <c r="D98" s="86" t="s">
        <v>681</v>
      </c>
      <c r="E98" s="86" t="s">
        <v>686</v>
      </c>
      <c r="F98" s="86"/>
      <c r="G98" s="92"/>
      <c r="H98" s="92"/>
      <c r="I98" s="92">
        <v>400</v>
      </c>
      <c r="J98" s="92"/>
      <c r="K98" s="86"/>
      <c r="L98" s="104"/>
      <c r="M98" s="99"/>
      <c r="N98" s="86"/>
      <c r="O98" s="86"/>
      <c r="P98" s="86"/>
      <c r="Q98" s="86"/>
      <c r="R98" s="86"/>
      <c r="S98" s="86"/>
      <c r="T98" s="86"/>
      <c r="U98" s="86"/>
      <c r="V98" s="86"/>
      <c r="W98" s="86"/>
      <c r="X98" s="86"/>
      <c r="Y98" s="86"/>
      <c r="Z98" s="86"/>
      <c r="AA98" s="86"/>
      <c r="AB98" s="86"/>
      <c r="AC98" s="86"/>
      <c r="AD98" s="86"/>
      <c r="AE98" s="86"/>
      <c r="AF98" s="86"/>
      <c r="AG98" s="86"/>
      <c r="AH98" s="92"/>
      <c r="AI98" s="92"/>
      <c r="AJ98" s="92"/>
      <c r="AK98" s="86"/>
      <c r="AL98" s="86"/>
      <c r="AM98" s="86"/>
      <c r="AN98" s="86"/>
      <c r="AO98" s="86"/>
      <c r="AP98" s="86"/>
      <c r="AQ98" s="121"/>
    </row>
    <row r="99" spans="1:43">
      <c r="A99" s="85" t="s">
        <v>716</v>
      </c>
      <c r="B99" s="85" t="s">
        <v>166</v>
      </c>
      <c r="C99" s="85"/>
      <c r="D99" s="85" t="s">
        <v>681</v>
      </c>
      <c r="E99" s="85" t="s">
        <v>686</v>
      </c>
      <c r="F99" s="85"/>
      <c r="G99" s="94"/>
      <c r="H99" s="94"/>
      <c r="I99" s="94">
        <v>400</v>
      </c>
      <c r="J99" s="94"/>
      <c r="K99" s="85"/>
      <c r="L99" s="105"/>
      <c r="M99" s="100"/>
      <c r="N99" s="85"/>
      <c r="O99" s="85"/>
      <c r="P99" s="85"/>
      <c r="Q99" s="85"/>
      <c r="R99" s="85"/>
      <c r="S99" s="85"/>
      <c r="T99" s="85"/>
      <c r="U99" s="85"/>
      <c r="V99" s="85"/>
      <c r="W99" s="85"/>
      <c r="X99" s="85"/>
      <c r="Y99" s="85"/>
      <c r="Z99" s="85"/>
      <c r="AA99" s="85"/>
      <c r="AB99" s="85"/>
      <c r="AC99" s="85"/>
      <c r="AD99" s="85"/>
      <c r="AE99" s="85"/>
      <c r="AF99" s="85"/>
      <c r="AG99" s="85"/>
      <c r="AH99" s="94"/>
      <c r="AI99" s="94"/>
      <c r="AJ99" s="94"/>
      <c r="AK99" s="85"/>
      <c r="AL99" s="85"/>
      <c r="AM99" s="85"/>
      <c r="AN99" s="85"/>
      <c r="AO99" s="85"/>
      <c r="AP99" s="85"/>
      <c r="AQ99" s="122"/>
    </row>
    <row r="100" spans="1:43">
      <c r="A100" s="84" t="s">
        <v>716</v>
      </c>
      <c r="B100" s="84" t="s">
        <v>865</v>
      </c>
      <c r="C100" s="84"/>
      <c r="D100" s="84" t="s">
        <v>681</v>
      </c>
      <c r="E100" s="84" t="s">
        <v>682</v>
      </c>
      <c r="F100" s="84"/>
      <c r="G100" s="84"/>
      <c r="H100" s="90">
        <v>220</v>
      </c>
      <c r="I100" s="90">
        <v>280</v>
      </c>
      <c r="J100" s="84"/>
      <c r="K100" s="84"/>
      <c r="L100" s="107"/>
      <c r="M100" s="98"/>
      <c r="N100" s="84"/>
      <c r="O100" s="84"/>
      <c r="P100" s="84"/>
      <c r="Q100" s="84"/>
      <c r="R100" s="84"/>
      <c r="S100" s="84"/>
      <c r="T100" s="84"/>
      <c r="U100" s="84"/>
      <c r="V100" s="84"/>
      <c r="W100" s="84"/>
      <c r="X100" s="84"/>
      <c r="Y100" s="84"/>
      <c r="Z100" s="84"/>
      <c r="AA100" s="84" t="s">
        <v>866</v>
      </c>
      <c r="AB100" s="84" t="s">
        <v>867</v>
      </c>
      <c r="AC100" s="84" t="s">
        <v>870</v>
      </c>
      <c r="AD100" s="84" t="s">
        <v>682</v>
      </c>
      <c r="AE100" s="84"/>
      <c r="AF100" s="84"/>
      <c r="AG100" s="84" t="b">
        <v>0</v>
      </c>
      <c r="AH100" s="90">
        <v>220</v>
      </c>
      <c r="AI100" s="90">
        <v>400</v>
      </c>
      <c r="AJ100" s="90" t="b">
        <v>0</v>
      </c>
      <c r="AK100" s="84"/>
      <c r="AL100" s="84"/>
      <c r="AM100" s="84"/>
      <c r="AN100" s="84"/>
      <c r="AO100" s="84"/>
      <c r="AP100" s="84"/>
      <c r="AQ100" s="120" t="s">
        <v>871</v>
      </c>
    </row>
    <row r="101" spans="1:43">
      <c r="A101" s="86" t="s">
        <v>716</v>
      </c>
      <c r="B101" s="86" t="s">
        <v>166</v>
      </c>
      <c r="C101" s="86"/>
      <c r="D101" s="86" t="s">
        <v>681</v>
      </c>
      <c r="E101" s="86" t="s">
        <v>686</v>
      </c>
      <c r="F101" s="86"/>
      <c r="G101" s="92"/>
      <c r="H101" s="92"/>
      <c r="I101" s="92">
        <v>400</v>
      </c>
      <c r="J101" s="92"/>
      <c r="K101" s="86"/>
      <c r="L101" s="104"/>
      <c r="M101" s="99"/>
      <c r="N101" s="86"/>
      <c r="O101" s="86"/>
      <c r="P101" s="86"/>
      <c r="Q101" s="86"/>
      <c r="R101" s="86"/>
      <c r="S101" s="86"/>
      <c r="T101" s="86"/>
      <c r="U101" s="86"/>
      <c r="V101" s="86"/>
      <c r="W101" s="86"/>
      <c r="X101" s="86"/>
      <c r="Y101" s="86"/>
      <c r="Z101" s="86"/>
      <c r="AA101" s="86"/>
      <c r="AB101" s="86"/>
      <c r="AC101" s="86"/>
      <c r="AD101" s="86"/>
      <c r="AE101" s="86"/>
      <c r="AF101" s="86"/>
      <c r="AG101" s="86"/>
      <c r="AH101" s="92"/>
      <c r="AI101" s="92"/>
      <c r="AJ101" s="92"/>
      <c r="AK101" s="86"/>
      <c r="AL101" s="86"/>
      <c r="AM101" s="86"/>
      <c r="AN101" s="86"/>
      <c r="AO101" s="86"/>
      <c r="AP101" s="86"/>
      <c r="AQ101" s="121"/>
    </row>
    <row r="102" spans="1:43">
      <c r="A102" s="85" t="s">
        <v>716</v>
      </c>
      <c r="B102" s="85" t="s">
        <v>166</v>
      </c>
      <c r="C102" s="85"/>
      <c r="D102" s="85" t="s">
        <v>681</v>
      </c>
      <c r="E102" s="85" t="s">
        <v>686</v>
      </c>
      <c r="F102" s="85"/>
      <c r="G102" s="94"/>
      <c r="H102" s="94"/>
      <c r="I102" s="94">
        <v>400</v>
      </c>
      <c r="J102" s="94"/>
      <c r="K102" s="85"/>
      <c r="L102" s="105"/>
      <c r="M102" s="100"/>
      <c r="N102" s="85"/>
      <c r="O102" s="85"/>
      <c r="P102" s="85"/>
      <c r="Q102" s="85"/>
      <c r="R102" s="85"/>
      <c r="S102" s="85"/>
      <c r="T102" s="85"/>
      <c r="U102" s="85"/>
      <c r="V102" s="85"/>
      <c r="W102" s="85"/>
      <c r="X102" s="85"/>
      <c r="Y102" s="85"/>
      <c r="Z102" s="85"/>
      <c r="AA102" s="85"/>
      <c r="AB102" s="85"/>
      <c r="AC102" s="85"/>
      <c r="AD102" s="85"/>
      <c r="AE102" s="85"/>
      <c r="AF102" s="85"/>
      <c r="AG102" s="85"/>
      <c r="AH102" s="94"/>
      <c r="AI102" s="94"/>
      <c r="AJ102" s="94"/>
      <c r="AK102" s="85"/>
      <c r="AL102" s="85"/>
      <c r="AM102" s="85"/>
      <c r="AN102" s="85"/>
      <c r="AO102" s="85"/>
      <c r="AP102" s="85"/>
      <c r="AQ102" s="122"/>
    </row>
    <row r="103" spans="1:43" ht="30">
      <c r="A103" s="84" t="s">
        <v>716</v>
      </c>
      <c r="B103" s="84" t="s">
        <v>872</v>
      </c>
      <c r="C103" s="84"/>
      <c r="D103" s="84" t="s">
        <v>681</v>
      </c>
      <c r="E103" s="84" t="s">
        <v>682</v>
      </c>
      <c r="F103" s="84"/>
      <c r="G103" s="90" t="s">
        <v>754</v>
      </c>
      <c r="H103" s="90">
        <v>220</v>
      </c>
      <c r="I103" s="90">
        <v>400</v>
      </c>
      <c r="J103" s="90"/>
      <c r="K103" s="84"/>
      <c r="L103" s="107"/>
      <c r="M103" s="98"/>
      <c r="N103" s="84"/>
      <c r="O103" s="84"/>
      <c r="P103" s="84"/>
      <c r="Q103" s="84"/>
      <c r="R103" s="84"/>
      <c r="S103" s="84"/>
      <c r="T103" s="84"/>
      <c r="U103" s="84"/>
      <c r="V103" s="84"/>
      <c r="W103" s="84"/>
      <c r="X103" s="84"/>
      <c r="Y103" s="84"/>
      <c r="Z103" s="84"/>
      <c r="AA103" s="84" t="s">
        <v>866</v>
      </c>
      <c r="AB103" s="84" t="s">
        <v>867</v>
      </c>
      <c r="AC103" s="84" t="s">
        <v>873</v>
      </c>
      <c r="AD103" s="84" t="s">
        <v>694</v>
      </c>
      <c r="AE103" s="84"/>
      <c r="AF103" s="84"/>
      <c r="AG103" s="84" t="b">
        <v>0</v>
      </c>
      <c r="AH103" s="90">
        <v>220</v>
      </c>
      <c r="AI103" s="84">
        <v>16</v>
      </c>
      <c r="AJ103" s="90" t="b">
        <v>1</v>
      </c>
      <c r="AK103" s="84"/>
      <c r="AL103" s="84"/>
      <c r="AM103" s="84"/>
      <c r="AN103" s="84"/>
      <c r="AO103" s="84"/>
      <c r="AP103" s="84"/>
      <c r="AQ103" s="120" t="s">
        <v>874</v>
      </c>
    </row>
    <row r="104" spans="1:43">
      <c r="A104" s="86" t="s">
        <v>716</v>
      </c>
      <c r="B104" s="86" t="s">
        <v>166</v>
      </c>
      <c r="C104" s="86"/>
      <c r="D104" s="86" t="s">
        <v>681</v>
      </c>
      <c r="E104" s="86" t="s">
        <v>686</v>
      </c>
      <c r="F104" s="86"/>
      <c r="G104" s="92"/>
      <c r="H104" s="92"/>
      <c r="I104" s="92">
        <v>400</v>
      </c>
      <c r="J104" s="92"/>
      <c r="K104" s="86"/>
      <c r="L104" s="104"/>
      <c r="M104" s="99"/>
      <c r="N104" s="86"/>
      <c r="O104" s="86"/>
      <c r="P104" s="86"/>
      <c r="Q104" s="86"/>
      <c r="R104" s="86"/>
      <c r="S104" s="86"/>
      <c r="T104" s="86"/>
      <c r="U104" s="86"/>
      <c r="V104" s="86"/>
      <c r="W104" s="86"/>
      <c r="X104" s="86"/>
      <c r="Y104" s="86"/>
      <c r="Z104" s="86"/>
      <c r="AA104" s="86"/>
      <c r="AB104" s="86"/>
      <c r="AC104" s="86"/>
      <c r="AD104" s="86"/>
      <c r="AE104" s="86"/>
      <c r="AF104" s="86"/>
      <c r="AG104" s="86"/>
      <c r="AH104" s="92"/>
      <c r="AI104" s="92"/>
      <c r="AJ104" s="92"/>
      <c r="AK104" s="86"/>
      <c r="AL104" s="86"/>
      <c r="AM104" s="86"/>
      <c r="AN104" s="86"/>
      <c r="AO104" s="86"/>
      <c r="AP104" s="86"/>
      <c r="AQ104" s="121"/>
    </row>
    <row r="105" spans="1:43">
      <c r="A105" s="85" t="s">
        <v>716</v>
      </c>
      <c r="B105" s="85" t="s">
        <v>166</v>
      </c>
      <c r="C105" s="85"/>
      <c r="D105" s="85" t="s">
        <v>681</v>
      </c>
      <c r="E105" s="85" t="s">
        <v>686</v>
      </c>
      <c r="F105" s="85"/>
      <c r="G105" s="94"/>
      <c r="H105" s="94"/>
      <c r="I105" s="94">
        <v>400</v>
      </c>
      <c r="J105" s="94"/>
      <c r="K105" s="85"/>
      <c r="L105" s="105"/>
      <c r="M105" s="100"/>
      <c r="N105" s="85"/>
      <c r="O105" s="85"/>
      <c r="P105" s="85"/>
      <c r="Q105" s="85"/>
      <c r="R105" s="85"/>
      <c r="S105" s="85"/>
      <c r="T105" s="85"/>
      <c r="U105" s="85"/>
      <c r="V105" s="85"/>
      <c r="W105" s="85"/>
      <c r="X105" s="85"/>
      <c r="Y105" s="85"/>
      <c r="Z105" s="85"/>
      <c r="AA105" s="85"/>
      <c r="AB105" s="85"/>
      <c r="AC105" s="85"/>
      <c r="AD105" s="85"/>
      <c r="AE105" s="85"/>
      <c r="AF105" s="85"/>
      <c r="AG105" s="85"/>
      <c r="AH105" s="94"/>
      <c r="AI105" s="94"/>
      <c r="AJ105" s="94"/>
      <c r="AK105" s="85"/>
      <c r="AL105" s="85"/>
      <c r="AM105" s="85"/>
      <c r="AN105" s="85"/>
      <c r="AO105" s="85"/>
      <c r="AP105" s="85"/>
      <c r="AQ105" s="122"/>
    </row>
    <row r="106" spans="1:43" ht="30">
      <c r="A106" s="84" t="s">
        <v>716</v>
      </c>
      <c r="B106" s="84" t="s">
        <v>872</v>
      </c>
      <c r="C106" s="84"/>
      <c r="D106" s="84" t="s">
        <v>681</v>
      </c>
      <c r="E106" s="84" t="s">
        <v>682</v>
      </c>
      <c r="F106" s="84"/>
      <c r="G106" s="90" t="s">
        <v>754</v>
      </c>
      <c r="H106" s="90">
        <v>220</v>
      </c>
      <c r="I106" s="90">
        <v>400</v>
      </c>
      <c r="J106" s="90"/>
      <c r="K106" s="84"/>
      <c r="L106" s="107"/>
      <c r="M106" s="98"/>
      <c r="N106" s="84"/>
      <c r="O106" s="84"/>
      <c r="P106" s="84"/>
      <c r="Q106" s="84"/>
      <c r="R106" s="84"/>
      <c r="S106" s="84"/>
      <c r="T106" s="84"/>
      <c r="U106" s="84"/>
      <c r="V106" s="84"/>
      <c r="W106" s="84"/>
      <c r="X106" s="84"/>
      <c r="Y106" s="84"/>
      <c r="Z106" s="84"/>
      <c r="AA106" s="84" t="s">
        <v>866</v>
      </c>
      <c r="AB106" s="84" t="s">
        <v>867</v>
      </c>
      <c r="AC106" s="84" t="s">
        <v>875</v>
      </c>
      <c r="AD106" s="84" t="s">
        <v>694</v>
      </c>
      <c r="AE106" s="84"/>
      <c r="AF106" s="84"/>
      <c r="AG106" s="84" t="b">
        <v>0</v>
      </c>
      <c r="AH106" s="90">
        <v>220</v>
      </c>
      <c r="AI106" s="84">
        <v>16</v>
      </c>
      <c r="AJ106" s="90" t="b">
        <v>1</v>
      </c>
      <c r="AK106" s="84"/>
      <c r="AL106" s="84"/>
      <c r="AM106" s="84"/>
      <c r="AN106" s="84"/>
      <c r="AO106" s="84"/>
      <c r="AP106" s="84"/>
      <c r="AQ106" s="120" t="s">
        <v>876</v>
      </c>
    </row>
    <row r="107" spans="1:43">
      <c r="A107" s="86" t="s">
        <v>716</v>
      </c>
      <c r="B107" s="86" t="s">
        <v>166</v>
      </c>
      <c r="C107" s="86"/>
      <c r="D107" s="86" t="s">
        <v>681</v>
      </c>
      <c r="E107" s="86" t="s">
        <v>686</v>
      </c>
      <c r="F107" s="86"/>
      <c r="G107" s="92"/>
      <c r="H107" s="92"/>
      <c r="I107" s="92">
        <v>400</v>
      </c>
      <c r="J107" s="92"/>
      <c r="K107" s="86"/>
      <c r="L107" s="104"/>
      <c r="M107" s="99"/>
      <c r="N107" s="86"/>
      <c r="O107" s="86"/>
      <c r="P107" s="86"/>
      <c r="Q107" s="86"/>
      <c r="R107" s="86"/>
      <c r="S107" s="86"/>
      <c r="T107" s="86"/>
      <c r="U107" s="86"/>
      <c r="V107" s="86"/>
      <c r="W107" s="86"/>
      <c r="X107" s="86"/>
      <c r="Y107" s="86"/>
      <c r="Z107" s="86"/>
      <c r="AA107" s="86"/>
      <c r="AB107" s="86"/>
      <c r="AC107" s="86"/>
      <c r="AD107" s="86"/>
      <c r="AE107" s="86"/>
      <c r="AF107" s="86"/>
      <c r="AG107" s="86"/>
      <c r="AH107" s="92"/>
      <c r="AI107" s="92"/>
      <c r="AJ107" s="92"/>
      <c r="AK107" s="86"/>
      <c r="AL107" s="86"/>
      <c r="AM107" s="86"/>
      <c r="AN107" s="86"/>
      <c r="AO107" s="86"/>
      <c r="AP107" s="86"/>
      <c r="AQ107" s="121"/>
    </row>
    <row r="108" spans="1:43">
      <c r="A108" s="85" t="s">
        <v>716</v>
      </c>
      <c r="B108" s="85" t="s">
        <v>166</v>
      </c>
      <c r="C108" s="85"/>
      <c r="D108" s="85" t="s">
        <v>681</v>
      </c>
      <c r="E108" s="85" t="s">
        <v>686</v>
      </c>
      <c r="F108" s="85"/>
      <c r="G108" s="94"/>
      <c r="H108" s="94"/>
      <c r="I108" s="94">
        <v>400</v>
      </c>
      <c r="J108" s="94"/>
      <c r="K108" s="85"/>
      <c r="L108" s="105"/>
      <c r="M108" s="100"/>
      <c r="N108" s="85"/>
      <c r="O108" s="85"/>
      <c r="P108" s="85"/>
      <c r="Q108" s="85"/>
      <c r="R108" s="85"/>
      <c r="S108" s="85"/>
      <c r="T108" s="85"/>
      <c r="U108" s="85"/>
      <c r="V108" s="85"/>
      <c r="W108" s="85"/>
      <c r="X108" s="85"/>
      <c r="Y108" s="85"/>
      <c r="Z108" s="85"/>
      <c r="AA108" s="85"/>
      <c r="AB108" s="85"/>
      <c r="AC108" s="85"/>
      <c r="AD108" s="85"/>
      <c r="AE108" s="85"/>
      <c r="AF108" s="85"/>
      <c r="AG108" s="85"/>
      <c r="AH108" s="94"/>
      <c r="AI108" s="94"/>
      <c r="AJ108" s="94"/>
      <c r="AK108" s="85"/>
      <c r="AL108" s="85"/>
      <c r="AM108" s="85"/>
      <c r="AN108" s="85"/>
      <c r="AO108" s="85"/>
      <c r="AP108" s="85"/>
      <c r="AQ108" s="122"/>
    </row>
    <row r="109" spans="1:43">
      <c r="A109" s="64" t="s">
        <v>166</v>
      </c>
      <c r="B109" s="64" t="s">
        <v>166</v>
      </c>
      <c r="C109" s="64"/>
      <c r="D109" s="64" t="s">
        <v>166</v>
      </c>
      <c r="E109" s="64"/>
      <c r="F109" s="64"/>
      <c r="G109" s="64"/>
      <c r="H109" s="64"/>
      <c r="I109" s="64"/>
      <c r="J109" s="64"/>
      <c r="K109" s="64"/>
      <c r="L109" s="106"/>
      <c r="M109" s="97"/>
      <c r="N109" s="64"/>
      <c r="O109" s="64"/>
      <c r="P109" s="64"/>
      <c r="Q109" s="64"/>
      <c r="R109" s="64"/>
      <c r="S109" s="64"/>
      <c r="T109" s="64"/>
      <c r="U109" s="64"/>
      <c r="V109" s="64"/>
      <c r="W109" s="64"/>
      <c r="X109" s="64"/>
      <c r="Y109" s="64"/>
      <c r="Z109" s="64"/>
      <c r="AA109" s="64" t="s">
        <v>866</v>
      </c>
      <c r="AB109" s="64" t="s">
        <v>877</v>
      </c>
      <c r="AC109" s="64" t="s">
        <v>878</v>
      </c>
      <c r="AD109" s="64" t="s">
        <v>1667</v>
      </c>
      <c r="AE109" s="64"/>
      <c r="AF109" s="64"/>
      <c r="AG109" s="64" t="b">
        <v>0</v>
      </c>
      <c r="AH109" s="64">
        <v>220</v>
      </c>
      <c r="AI109" s="88">
        <v>400</v>
      </c>
      <c r="AJ109" s="88" t="b">
        <v>0</v>
      </c>
      <c r="AK109" s="64"/>
      <c r="AL109" s="64"/>
      <c r="AM109" s="64"/>
      <c r="AN109" s="64"/>
      <c r="AO109" s="64"/>
      <c r="AP109" s="64"/>
      <c r="AQ109" s="119"/>
    </row>
    <row r="110" spans="1:43">
      <c r="A110" s="64" t="s">
        <v>166</v>
      </c>
      <c r="B110" s="64" t="s">
        <v>166</v>
      </c>
      <c r="C110" s="64"/>
      <c r="D110" s="64" t="s">
        <v>166</v>
      </c>
      <c r="E110" s="64"/>
      <c r="F110" s="64"/>
      <c r="G110" s="64"/>
      <c r="H110" s="64"/>
      <c r="I110" s="64"/>
      <c r="J110" s="64"/>
      <c r="K110" s="64"/>
      <c r="L110" s="106"/>
      <c r="M110" s="97"/>
      <c r="N110" s="64"/>
      <c r="O110" s="64"/>
      <c r="P110" s="64"/>
      <c r="Q110" s="64"/>
      <c r="R110" s="64"/>
      <c r="S110" s="64"/>
      <c r="T110" s="64"/>
      <c r="U110" s="64"/>
      <c r="V110" s="64"/>
      <c r="W110" s="64"/>
      <c r="X110" s="64"/>
      <c r="Y110" s="64"/>
      <c r="Z110" s="64"/>
      <c r="AA110" s="64" t="s">
        <v>866</v>
      </c>
      <c r="AB110" s="64" t="s">
        <v>877</v>
      </c>
      <c r="AC110" s="64" t="s">
        <v>879</v>
      </c>
      <c r="AD110" s="64" t="s">
        <v>686</v>
      </c>
      <c r="AE110" s="64"/>
      <c r="AF110" s="64"/>
      <c r="AG110" s="64" t="b">
        <v>0</v>
      </c>
      <c r="AH110" s="64">
        <v>220</v>
      </c>
      <c r="AI110" s="88">
        <v>400</v>
      </c>
      <c r="AJ110" s="88" t="b">
        <v>0</v>
      </c>
      <c r="AK110" s="64"/>
      <c r="AL110" s="64"/>
      <c r="AM110" s="64"/>
      <c r="AN110" s="64"/>
      <c r="AO110" s="64"/>
      <c r="AP110" s="64"/>
      <c r="AQ110" s="119"/>
    </row>
    <row r="111" spans="1:43" ht="30">
      <c r="A111" s="64" t="s">
        <v>166</v>
      </c>
      <c r="B111" s="64" t="s">
        <v>166</v>
      </c>
      <c r="C111" s="64"/>
      <c r="D111" s="64" t="s">
        <v>166</v>
      </c>
      <c r="E111" s="64"/>
      <c r="F111" s="64"/>
      <c r="G111" s="64"/>
      <c r="H111" s="64"/>
      <c r="I111" s="64"/>
      <c r="J111" s="64"/>
      <c r="K111" s="64"/>
      <c r="L111" s="106"/>
      <c r="M111" s="97"/>
      <c r="N111" s="64"/>
      <c r="O111" s="64"/>
      <c r="P111" s="64"/>
      <c r="Q111" s="64"/>
      <c r="R111" s="64"/>
      <c r="S111" s="64"/>
      <c r="T111" s="64"/>
      <c r="U111" s="64"/>
      <c r="V111" s="64"/>
      <c r="W111" s="64"/>
      <c r="X111" s="64"/>
      <c r="Y111" s="64"/>
      <c r="Z111" s="64"/>
      <c r="AA111" s="64" t="s">
        <v>866</v>
      </c>
      <c r="AB111" s="64" t="s">
        <v>877</v>
      </c>
      <c r="AC111" s="64" t="s">
        <v>880</v>
      </c>
      <c r="AD111" s="64" t="s">
        <v>694</v>
      </c>
      <c r="AE111" s="64"/>
      <c r="AF111" s="64"/>
      <c r="AG111" s="64" t="b">
        <v>0</v>
      </c>
      <c r="AH111" s="64">
        <v>220</v>
      </c>
      <c r="AI111" s="64">
        <v>16</v>
      </c>
      <c r="AJ111" s="88" t="b">
        <v>0</v>
      </c>
      <c r="AK111" s="64"/>
      <c r="AL111" s="64"/>
      <c r="AM111" s="64"/>
      <c r="AN111" s="64"/>
      <c r="AO111" s="64"/>
      <c r="AP111" s="64"/>
      <c r="AQ111" s="119"/>
    </row>
    <row r="112" spans="1:43" ht="30">
      <c r="A112" s="64" t="s">
        <v>166</v>
      </c>
      <c r="B112" s="64" t="s">
        <v>166</v>
      </c>
      <c r="C112" s="64"/>
      <c r="D112" s="64" t="s">
        <v>166</v>
      </c>
      <c r="E112" s="64"/>
      <c r="F112" s="64"/>
      <c r="G112" s="64"/>
      <c r="H112" s="64"/>
      <c r="I112" s="64"/>
      <c r="J112" s="64"/>
      <c r="K112" s="64"/>
      <c r="L112" s="106"/>
      <c r="M112" s="97"/>
      <c r="N112" s="64"/>
      <c r="O112" s="64"/>
      <c r="P112" s="64"/>
      <c r="Q112" s="64"/>
      <c r="R112" s="64"/>
      <c r="S112" s="64"/>
      <c r="T112" s="64"/>
      <c r="U112" s="64"/>
      <c r="V112" s="64"/>
      <c r="W112" s="64"/>
      <c r="X112" s="64"/>
      <c r="Y112" s="64"/>
      <c r="Z112" s="64"/>
      <c r="AA112" s="64" t="s">
        <v>866</v>
      </c>
      <c r="AB112" s="64" t="s">
        <v>877</v>
      </c>
      <c r="AC112" s="64" t="s">
        <v>881</v>
      </c>
      <c r="AD112" s="64" t="s">
        <v>694</v>
      </c>
      <c r="AE112" s="64"/>
      <c r="AF112" s="64"/>
      <c r="AG112" s="64" t="b">
        <v>0</v>
      </c>
      <c r="AH112" s="64">
        <v>220</v>
      </c>
      <c r="AI112" s="64">
        <v>16</v>
      </c>
      <c r="AJ112" s="88" t="b">
        <v>0</v>
      </c>
      <c r="AK112" s="64"/>
      <c r="AL112" s="64"/>
      <c r="AM112" s="64"/>
      <c r="AN112" s="64"/>
      <c r="AO112" s="64"/>
      <c r="AP112" s="64"/>
      <c r="AQ112" s="119"/>
    </row>
    <row r="113" spans="1:43">
      <c r="A113" s="64" t="s">
        <v>166</v>
      </c>
      <c r="B113" s="64" t="s">
        <v>166</v>
      </c>
      <c r="C113" s="64"/>
      <c r="D113" s="64" t="s">
        <v>166</v>
      </c>
      <c r="E113" s="64"/>
      <c r="F113" s="64"/>
      <c r="G113" s="64"/>
      <c r="H113" s="64"/>
      <c r="I113" s="64"/>
      <c r="J113" s="64"/>
      <c r="K113" s="64"/>
      <c r="L113" s="106"/>
      <c r="M113" s="97"/>
      <c r="N113" s="64"/>
      <c r="O113" s="64"/>
      <c r="P113" s="64"/>
      <c r="Q113" s="64"/>
      <c r="R113" s="64"/>
      <c r="S113" s="64"/>
      <c r="T113" s="64"/>
      <c r="U113" s="64"/>
      <c r="V113" s="64"/>
      <c r="W113" s="64"/>
      <c r="X113" s="64"/>
      <c r="Y113" s="64"/>
      <c r="Z113" s="64"/>
      <c r="AA113" s="64" t="s">
        <v>866</v>
      </c>
      <c r="AB113" s="64" t="s">
        <v>882</v>
      </c>
      <c r="AC113" s="64" t="s">
        <v>883</v>
      </c>
      <c r="AD113" s="64" t="s">
        <v>686</v>
      </c>
      <c r="AE113" s="64"/>
      <c r="AF113" s="64"/>
      <c r="AG113" s="64" t="b">
        <v>0</v>
      </c>
      <c r="AH113" s="64">
        <v>220</v>
      </c>
      <c r="AI113" s="88">
        <v>400</v>
      </c>
      <c r="AJ113" s="88" t="b">
        <v>0</v>
      </c>
      <c r="AK113" s="64"/>
      <c r="AL113" s="64"/>
      <c r="AM113" s="64"/>
      <c r="AN113" s="64"/>
      <c r="AO113" s="64"/>
      <c r="AP113" s="64"/>
      <c r="AQ113" s="119"/>
    </row>
    <row r="114" spans="1:43" ht="30">
      <c r="A114" s="64" t="s">
        <v>166</v>
      </c>
      <c r="B114" s="64" t="s">
        <v>166</v>
      </c>
      <c r="C114" s="64"/>
      <c r="D114" s="64" t="s">
        <v>166</v>
      </c>
      <c r="E114" s="64"/>
      <c r="F114" s="64"/>
      <c r="G114" s="64"/>
      <c r="H114" s="64"/>
      <c r="I114" s="64"/>
      <c r="J114" s="64"/>
      <c r="K114" s="64"/>
      <c r="L114" s="106"/>
      <c r="M114" s="97"/>
      <c r="N114" s="64"/>
      <c r="O114" s="64"/>
      <c r="P114" s="64"/>
      <c r="Q114" s="64"/>
      <c r="R114" s="64"/>
      <c r="S114" s="64"/>
      <c r="T114" s="64"/>
      <c r="U114" s="64"/>
      <c r="V114" s="64"/>
      <c r="W114" s="64"/>
      <c r="X114" s="64"/>
      <c r="Y114" s="64"/>
      <c r="Z114" s="64"/>
      <c r="AA114" s="64" t="s">
        <v>866</v>
      </c>
      <c r="AB114" s="64" t="s">
        <v>882</v>
      </c>
      <c r="AC114" s="64" t="s">
        <v>884</v>
      </c>
      <c r="AD114" s="64" t="s">
        <v>694</v>
      </c>
      <c r="AE114" s="64"/>
      <c r="AF114" s="64"/>
      <c r="AG114" s="64" t="b">
        <v>0</v>
      </c>
      <c r="AH114" s="64">
        <v>220</v>
      </c>
      <c r="AI114" s="64">
        <v>16</v>
      </c>
      <c r="AJ114" s="88" t="b">
        <v>0</v>
      </c>
      <c r="AK114" s="64"/>
      <c r="AL114" s="64"/>
      <c r="AM114" s="64"/>
      <c r="AN114" s="64"/>
      <c r="AO114" s="64"/>
      <c r="AP114" s="64"/>
      <c r="AQ114" s="119"/>
    </row>
    <row r="115" spans="1:43" ht="30">
      <c r="A115" s="64" t="s">
        <v>166</v>
      </c>
      <c r="B115" s="64" t="s">
        <v>166</v>
      </c>
      <c r="C115" s="64"/>
      <c r="D115" s="64" t="s">
        <v>166</v>
      </c>
      <c r="E115" s="64"/>
      <c r="F115" s="64"/>
      <c r="G115" s="64"/>
      <c r="H115" s="64"/>
      <c r="I115" s="64"/>
      <c r="J115" s="64"/>
      <c r="K115" s="64"/>
      <c r="L115" s="106"/>
      <c r="M115" s="97"/>
      <c r="N115" s="64"/>
      <c r="O115" s="64"/>
      <c r="P115" s="64"/>
      <c r="Q115" s="64"/>
      <c r="R115" s="64"/>
      <c r="S115" s="64"/>
      <c r="T115" s="64"/>
      <c r="U115" s="64"/>
      <c r="V115" s="64"/>
      <c r="W115" s="64"/>
      <c r="X115" s="64"/>
      <c r="Y115" s="64"/>
      <c r="Z115" s="64"/>
      <c r="AA115" s="64" t="s">
        <v>866</v>
      </c>
      <c r="AB115" s="64" t="s">
        <v>882</v>
      </c>
      <c r="AC115" s="64" t="s">
        <v>885</v>
      </c>
      <c r="AD115" s="64" t="s">
        <v>694</v>
      </c>
      <c r="AE115" s="64"/>
      <c r="AF115" s="64"/>
      <c r="AG115" s="64" t="b">
        <v>0</v>
      </c>
      <c r="AH115" s="64">
        <v>220</v>
      </c>
      <c r="AI115" s="64">
        <v>16</v>
      </c>
      <c r="AJ115" s="88" t="b">
        <v>0</v>
      </c>
      <c r="AK115" s="64"/>
      <c r="AL115" s="64"/>
      <c r="AM115" s="64"/>
      <c r="AN115" s="64"/>
      <c r="AO115" s="64"/>
      <c r="AP115" s="64"/>
      <c r="AQ115" s="119"/>
    </row>
    <row r="116" spans="1:43">
      <c r="A116" s="84" t="s">
        <v>716</v>
      </c>
      <c r="B116" s="84" t="s">
        <v>886</v>
      </c>
      <c r="C116" s="84"/>
      <c r="D116" s="84" t="s">
        <v>681</v>
      </c>
      <c r="E116" s="84" t="s">
        <v>682</v>
      </c>
      <c r="F116" s="84"/>
      <c r="G116" s="84"/>
      <c r="H116" s="90">
        <v>220</v>
      </c>
      <c r="I116" s="90">
        <v>280</v>
      </c>
      <c r="J116" s="84"/>
      <c r="K116" s="84"/>
      <c r="L116" s="107"/>
      <c r="M116" s="98"/>
      <c r="N116" s="84"/>
      <c r="O116" s="84"/>
      <c r="P116" s="84"/>
      <c r="Q116" s="84"/>
      <c r="R116" s="84"/>
      <c r="S116" s="84"/>
      <c r="T116" s="84"/>
      <c r="U116" s="84"/>
      <c r="V116" s="84"/>
      <c r="W116" s="84"/>
      <c r="X116" s="84"/>
      <c r="Y116" s="84"/>
      <c r="Z116" s="84"/>
      <c r="AA116" s="84" t="s">
        <v>866</v>
      </c>
      <c r="AB116" s="84" t="s">
        <v>887</v>
      </c>
      <c r="AC116" s="84" t="s">
        <v>888</v>
      </c>
      <c r="AD116" s="84" t="s">
        <v>682</v>
      </c>
      <c r="AE116" s="84"/>
      <c r="AF116" s="84"/>
      <c r="AG116" s="84" t="b">
        <v>1</v>
      </c>
      <c r="AH116" s="90">
        <v>220</v>
      </c>
      <c r="AI116" s="90">
        <v>400</v>
      </c>
      <c r="AJ116" s="90" t="b">
        <v>0</v>
      </c>
      <c r="AK116" s="84"/>
      <c r="AL116" s="84"/>
      <c r="AM116" s="84"/>
      <c r="AN116" s="84"/>
      <c r="AO116" s="84"/>
      <c r="AP116" s="84"/>
      <c r="AQ116" s="120" t="s">
        <v>889</v>
      </c>
    </row>
    <row r="117" spans="1:43">
      <c r="A117" s="86" t="s">
        <v>716</v>
      </c>
      <c r="B117" s="86" t="s">
        <v>166</v>
      </c>
      <c r="C117" s="86"/>
      <c r="D117" s="86" t="s">
        <v>681</v>
      </c>
      <c r="E117" s="86" t="s">
        <v>686</v>
      </c>
      <c r="F117" s="86"/>
      <c r="G117" s="92"/>
      <c r="H117" s="92"/>
      <c r="I117" s="92">
        <v>400</v>
      </c>
      <c r="J117" s="92"/>
      <c r="K117" s="86"/>
      <c r="L117" s="104"/>
      <c r="M117" s="99"/>
      <c r="N117" s="86"/>
      <c r="O117" s="86"/>
      <c r="P117" s="86"/>
      <c r="Q117" s="86"/>
      <c r="R117" s="86"/>
      <c r="S117" s="86"/>
      <c r="T117" s="86"/>
      <c r="U117" s="86"/>
      <c r="V117" s="86"/>
      <c r="W117" s="86"/>
      <c r="X117" s="86"/>
      <c r="Y117" s="86"/>
      <c r="Z117" s="86"/>
      <c r="AA117" s="86"/>
      <c r="AB117" s="86"/>
      <c r="AC117" s="86"/>
      <c r="AD117" s="86"/>
      <c r="AE117" s="86"/>
      <c r="AF117" s="86"/>
      <c r="AG117" s="86"/>
      <c r="AH117" s="92"/>
      <c r="AI117" s="92"/>
      <c r="AJ117" s="92"/>
      <c r="AK117" s="86"/>
      <c r="AL117" s="86"/>
      <c r="AM117" s="86"/>
      <c r="AN117" s="86"/>
      <c r="AO117" s="86"/>
      <c r="AP117" s="86"/>
      <c r="AQ117" s="121"/>
    </row>
    <row r="118" spans="1:43">
      <c r="A118" s="85" t="s">
        <v>716</v>
      </c>
      <c r="B118" s="85" t="s">
        <v>166</v>
      </c>
      <c r="C118" s="85"/>
      <c r="D118" s="85" t="s">
        <v>681</v>
      </c>
      <c r="E118" s="85" t="s">
        <v>686</v>
      </c>
      <c r="F118" s="85"/>
      <c r="G118" s="94"/>
      <c r="H118" s="94"/>
      <c r="I118" s="94">
        <v>400</v>
      </c>
      <c r="J118" s="94"/>
      <c r="K118" s="85"/>
      <c r="L118" s="105"/>
      <c r="M118" s="100"/>
      <c r="N118" s="85"/>
      <c r="O118" s="85"/>
      <c r="P118" s="85"/>
      <c r="Q118" s="85"/>
      <c r="R118" s="85"/>
      <c r="S118" s="85"/>
      <c r="T118" s="85"/>
      <c r="U118" s="85"/>
      <c r="V118" s="85"/>
      <c r="W118" s="85"/>
      <c r="X118" s="85"/>
      <c r="Y118" s="85"/>
      <c r="Z118" s="85"/>
      <c r="AA118" s="85"/>
      <c r="AB118" s="85"/>
      <c r="AC118" s="85"/>
      <c r="AD118" s="85"/>
      <c r="AE118" s="85"/>
      <c r="AF118" s="85"/>
      <c r="AG118" s="85"/>
      <c r="AH118" s="94"/>
      <c r="AI118" s="94"/>
      <c r="AJ118" s="94"/>
      <c r="AK118" s="85"/>
      <c r="AL118" s="85"/>
      <c r="AM118" s="85"/>
      <c r="AN118" s="85"/>
      <c r="AO118" s="85"/>
      <c r="AP118" s="85"/>
      <c r="AQ118" s="122"/>
    </row>
    <row r="119" spans="1:43">
      <c r="A119" s="84" t="s">
        <v>716</v>
      </c>
      <c r="B119" s="84" t="s">
        <v>886</v>
      </c>
      <c r="C119" s="84"/>
      <c r="D119" s="84" t="s">
        <v>681</v>
      </c>
      <c r="E119" s="84" t="s">
        <v>682</v>
      </c>
      <c r="F119" s="84"/>
      <c r="G119" s="84"/>
      <c r="H119" s="90">
        <v>220</v>
      </c>
      <c r="I119" s="90">
        <v>280</v>
      </c>
      <c r="J119" s="84"/>
      <c r="K119" s="84"/>
      <c r="L119" s="107"/>
      <c r="M119" s="98"/>
      <c r="N119" s="84"/>
      <c r="O119" s="84"/>
      <c r="P119" s="84"/>
      <c r="Q119" s="84"/>
      <c r="R119" s="84"/>
      <c r="S119" s="84"/>
      <c r="T119" s="84"/>
      <c r="U119" s="84"/>
      <c r="V119" s="84"/>
      <c r="W119" s="84"/>
      <c r="X119" s="84"/>
      <c r="Y119" s="84"/>
      <c r="Z119" s="84"/>
      <c r="AA119" s="84" t="s">
        <v>866</v>
      </c>
      <c r="AB119" s="84" t="s">
        <v>887</v>
      </c>
      <c r="AC119" s="84" t="s">
        <v>890</v>
      </c>
      <c r="AD119" s="84" t="s">
        <v>682</v>
      </c>
      <c r="AE119" s="84"/>
      <c r="AF119" s="84"/>
      <c r="AG119" s="84" t="b">
        <v>1</v>
      </c>
      <c r="AH119" s="90">
        <v>220</v>
      </c>
      <c r="AI119" s="90">
        <v>400</v>
      </c>
      <c r="AJ119" s="90" t="b">
        <v>0</v>
      </c>
      <c r="AK119" s="84"/>
      <c r="AL119" s="84"/>
      <c r="AM119" s="84"/>
      <c r="AN119" s="84"/>
      <c r="AO119" s="84"/>
      <c r="AP119" s="84"/>
      <c r="AQ119" s="120" t="s">
        <v>891</v>
      </c>
    </row>
    <row r="120" spans="1:43">
      <c r="A120" s="86" t="s">
        <v>716</v>
      </c>
      <c r="B120" s="86" t="s">
        <v>166</v>
      </c>
      <c r="C120" s="86"/>
      <c r="D120" s="86" t="s">
        <v>681</v>
      </c>
      <c r="E120" s="86" t="s">
        <v>686</v>
      </c>
      <c r="F120" s="86"/>
      <c r="G120" s="92"/>
      <c r="H120" s="92"/>
      <c r="I120" s="92">
        <v>400</v>
      </c>
      <c r="J120" s="92"/>
      <c r="K120" s="86"/>
      <c r="L120" s="104"/>
      <c r="M120" s="99"/>
      <c r="N120" s="86"/>
      <c r="O120" s="86"/>
      <c r="P120" s="86"/>
      <c r="Q120" s="86"/>
      <c r="R120" s="86"/>
      <c r="S120" s="86"/>
      <c r="T120" s="86"/>
      <c r="U120" s="86"/>
      <c r="V120" s="86"/>
      <c r="W120" s="86"/>
      <c r="X120" s="86"/>
      <c r="Y120" s="86"/>
      <c r="Z120" s="86"/>
      <c r="AA120" s="86"/>
      <c r="AB120" s="86"/>
      <c r="AC120" s="86"/>
      <c r="AD120" s="86"/>
      <c r="AE120" s="86"/>
      <c r="AF120" s="86"/>
      <c r="AG120" s="86"/>
      <c r="AH120" s="92"/>
      <c r="AI120" s="92"/>
      <c r="AJ120" s="92"/>
      <c r="AK120" s="86"/>
      <c r="AL120" s="86"/>
      <c r="AM120" s="86"/>
      <c r="AN120" s="86"/>
      <c r="AO120" s="86"/>
      <c r="AP120" s="86"/>
      <c r="AQ120" s="121"/>
    </row>
    <row r="121" spans="1:43">
      <c r="A121" s="85" t="s">
        <v>716</v>
      </c>
      <c r="B121" s="85" t="s">
        <v>166</v>
      </c>
      <c r="C121" s="85"/>
      <c r="D121" s="85" t="s">
        <v>681</v>
      </c>
      <c r="E121" s="85" t="s">
        <v>686</v>
      </c>
      <c r="F121" s="85"/>
      <c r="G121" s="94"/>
      <c r="H121" s="94"/>
      <c r="I121" s="94">
        <v>400</v>
      </c>
      <c r="J121" s="94"/>
      <c r="K121" s="85"/>
      <c r="L121" s="105"/>
      <c r="M121" s="100"/>
      <c r="N121" s="85"/>
      <c r="O121" s="85"/>
      <c r="P121" s="85"/>
      <c r="Q121" s="85"/>
      <c r="R121" s="85"/>
      <c r="S121" s="85"/>
      <c r="T121" s="85"/>
      <c r="U121" s="85"/>
      <c r="V121" s="85"/>
      <c r="W121" s="85"/>
      <c r="X121" s="85"/>
      <c r="Y121" s="85"/>
      <c r="Z121" s="85"/>
      <c r="AA121" s="85"/>
      <c r="AB121" s="85"/>
      <c r="AC121" s="85"/>
      <c r="AD121" s="85"/>
      <c r="AE121" s="85"/>
      <c r="AF121" s="85"/>
      <c r="AG121" s="85"/>
      <c r="AH121" s="94"/>
      <c r="AI121" s="94"/>
      <c r="AJ121" s="94"/>
      <c r="AK121" s="85"/>
      <c r="AL121" s="85"/>
      <c r="AM121" s="85"/>
      <c r="AN121" s="85"/>
      <c r="AO121" s="85"/>
      <c r="AP121" s="85"/>
      <c r="AQ121" s="122"/>
    </row>
    <row r="122" spans="1:43" ht="30">
      <c r="A122" s="84" t="s">
        <v>716</v>
      </c>
      <c r="B122" s="84" t="s">
        <v>892</v>
      </c>
      <c r="C122" s="84"/>
      <c r="D122" s="84" t="s">
        <v>681</v>
      </c>
      <c r="E122" s="84" t="s">
        <v>682</v>
      </c>
      <c r="F122" s="84"/>
      <c r="G122" s="90" t="s">
        <v>754</v>
      </c>
      <c r="H122" s="90">
        <v>220</v>
      </c>
      <c r="I122" s="90">
        <v>400</v>
      </c>
      <c r="J122" s="90"/>
      <c r="K122" s="84"/>
      <c r="L122" s="107"/>
      <c r="M122" s="98"/>
      <c r="N122" s="84"/>
      <c r="O122" s="84"/>
      <c r="P122" s="84"/>
      <c r="Q122" s="84"/>
      <c r="R122" s="84"/>
      <c r="S122" s="84"/>
      <c r="T122" s="84"/>
      <c r="U122" s="84"/>
      <c r="V122" s="84"/>
      <c r="W122" s="84"/>
      <c r="X122" s="84"/>
      <c r="Y122" s="84"/>
      <c r="Z122" s="84"/>
      <c r="AA122" s="84" t="s">
        <v>866</v>
      </c>
      <c r="AB122" s="84" t="s">
        <v>887</v>
      </c>
      <c r="AC122" s="84" t="s">
        <v>893</v>
      </c>
      <c r="AD122" s="84" t="s">
        <v>694</v>
      </c>
      <c r="AE122" s="84"/>
      <c r="AF122" s="84"/>
      <c r="AG122" s="84" t="b">
        <v>0</v>
      </c>
      <c r="AH122" s="90">
        <v>220</v>
      </c>
      <c r="AI122" s="84">
        <v>16</v>
      </c>
      <c r="AJ122" s="90" t="b">
        <v>1</v>
      </c>
      <c r="AK122" s="84"/>
      <c r="AL122" s="84"/>
      <c r="AM122" s="84"/>
      <c r="AN122" s="84"/>
      <c r="AO122" s="84"/>
      <c r="AP122" s="84"/>
      <c r="AQ122" s="120" t="s">
        <v>894</v>
      </c>
    </row>
    <row r="123" spans="1:43">
      <c r="A123" s="86" t="s">
        <v>716</v>
      </c>
      <c r="B123" s="86" t="s">
        <v>166</v>
      </c>
      <c r="C123" s="86"/>
      <c r="D123" s="86" t="s">
        <v>681</v>
      </c>
      <c r="E123" s="86" t="s">
        <v>686</v>
      </c>
      <c r="F123" s="86"/>
      <c r="G123" s="92"/>
      <c r="H123" s="92"/>
      <c r="I123" s="92">
        <v>400</v>
      </c>
      <c r="J123" s="92"/>
      <c r="K123" s="86"/>
      <c r="L123" s="104"/>
      <c r="M123" s="99"/>
      <c r="N123" s="86"/>
      <c r="O123" s="86"/>
      <c r="P123" s="86"/>
      <c r="Q123" s="86"/>
      <c r="R123" s="86"/>
      <c r="S123" s="86"/>
      <c r="T123" s="86"/>
      <c r="U123" s="86"/>
      <c r="V123" s="86"/>
      <c r="W123" s="86"/>
      <c r="X123" s="86"/>
      <c r="Y123" s="86"/>
      <c r="Z123" s="86"/>
      <c r="AA123" s="86"/>
      <c r="AB123" s="86"/>
      <c r="AC123" s="86"/>
      <c r="AD123" s="86"/>
      <c r="AE123" s="86"/>
      <c r="AF123" s="86"/>
      <c r="AG123" s="86"/>
      <c r="AH123" s="92"/>
      <c r="AI123" s="92"/>
      <c r="AJ123" s="92"/>
      <c r="AK123" s="86"/>
      <c r="AL123" s="86"/>
      <c r="AM123" s="86"/>
      <c r="AN123" s="86"/>
      <c r="AO123" s="86"/>
      <c r="AP123" s="86"/>
      <c r="AQ123" s="121"/>
    </row>
    <row r="124" spans="1:43">
      <c r="A124" s="85" t="s">
        <v>716</v>
      </c>
      <c r="B124" s="85" t="s">
        <v>166</v>
      </c>
      <c r="C124" s="85"/>
      <c r="D124" s="85" t="s">
        <v>681</v>
      </c>
      <c r="E124" s="85" t="s">
        <v>686</v>
      </c>
      <c r="F124" s="85"/>
      <c r="G124" s="94"/>
      <c r="H124" s="94"/>
      <c r="I124" s="94">
        <v>400</v>
      </c>
      <c r="J124" s="94"/>
      <c r="K124" s="85"/>
      <c r="L124" s="105"/>
      <c r="M124" s="100"/>
      <c r="N124" s="85"/>
      <c r="O124" s="85"/>
      <c r="P124" s="85"/>
      <c r="Q124" s="85"/>
      <c r="R124" s="85"/>
      <c r="S124" s="85"/>
      <c r="T124" s="85"/>
      <c r="U124" s="85"/>
      <c r="V124" s="85"/>
      <c r="W124" s="85"/>
      <c r="X124" s="85"/>
      <c r="Y124" s="85"/>
      <c r="Z124" s="85"/>
      <c r="AA124" s="85"/>
      <c r="AB124" s="85"/>
      <c r="AC124" s="85"/>
      <c r="AD124" s="85"/>
      <c r="AE124" s="85"/>
      <c r="AF124" s="85"/>
      <c r="AG124" s="85"/>
      <c r="AH124" s="94"/>
      <c r="AI124" s="94"/>
      <c r="AJ124" s="94"/>
      <c r="AK124" s="85"/>
      <c r="AL124" s="85"/>
      <c r="AM124" s="85"/>
      <c r="AN124" s="85"/>
      <c r="AO124" s="85"/>
      <c r="AP124" s="85"/>
      <c r="AQ124" s="122"/>
    </row>
    <row r="125" spans="1:43" ht="30">
      <c r="A125" s="84" t="s">
        <v>716</v>
      </c>
      <c r="B125" s="84" t="s">
        <v>892</v>
      </c>
      <c r="C125" s="84"/>
      <c r="D125" s="84" t="s">
        <v>681</v>
      </c>
      <c r="E125" s="84" t="s">
        <v>682</v>
      </c>
      <c r="F125" s="84"/>
      <c r="G125" s="90" t="s">
        <v>754</v>
      </c>
      <c r="H125" s="90">
        <v>220</v>
      </c>
      <c r="I125" s="90">
        <v>400</v>
      </c>
      <c r="J125" s="90" t="b">
        <v>1</v>
      </c>
      <c r="K125" s="84"/>
      <c r="L125" s="107"/>
      <c r="M125" s="98"/>
      <c r="N125" s="84"/>
      <c r="O125" s="84"/>
      <c r="P125" s="84"/>
      <c r="Q125" s="84"/>
      <c r="R125" s="84"/>
      <c r="S125" s="84"/>
      <c r="T125" s="84"/>
      <c r="U125" s="84"/>
      <c r="V125" s="84"/>
      <c r="W125" s="84"/>
      <c r="X125" s="84"/>
      <c r="Y125" s="84"/>
      <c r="Z125" s="84"/>
      <c r="AA125" s="84" t="s">
        <v>866</v>
      </c>
      <c r="AB125" s="84" t="s">
        <v>887</v>
      </c>
      <c r="AC125" s="84" t="s">
        <v>895</v>
      </c>
      <c r="AD125" s="84" t="s">
        <v>694</v>
      </c>
      <c r="AE125" s="84"/>
      <c r="AF125" s="84"/>
      <c r="AG125" s="84" t="b">
        <v>0</v>
      </c>
      <c r="AH125" s="90">
        <v>220</v>
      </c>
      <c r="AI125" s="84">
        <v>16</v>
      </c>
      <c r="AJ125" s="90" t="b">
        <v>1</v>
      </c>
      <c r="AK125" s="84"/>
      <c r="AL125" s="84"/>
      <c r="AM125" s="84"/>
      <c r="AN125" s="84"/>
      <c r="AO125" s="84"/>
      <c r="AP125" s="84"/>
      <c r="AQ125" s="120" t="s">
        <v>896</v>
      </c>
    </row>
    <row r="126" spans="1:43">
      <c r="A126" s="86" t="s">
        <v>716</v>
      </c>
      <c r="B126" s="86" t="s">
        <v>166</v>
      </c>
      <c r="C126" s="86"/>
      <c r="D126" s="86" t="s">
        <v>681</v>
      </c>
      <c r="E126" s="86" t="s">
        <v>686</v>
      </c>
      <c r="F126" s="86"/>
      <c r="G126" s="92"/>
      <c r="H126" s="92"/>
      <c r="I126" s="92">
        <v>400</v>
      </c>
      <c r="J126" s="92"/>
      <c r="K126" s="86"/>
      <c r="L126" s="104"/>
      <c r="M126" s="99"/>
      <c r="N126" s="86"/>
      <c r="O126" s="86"/>
      <c r="P126" s="86"/>
      <c r="Q126" s="86"/>
      <c r="R126" s="86"/>
      <c r="S126" s="86"/>
      <c r="T126" s="86"/>
      <c r="U126" s="86"/>
      <c r="V126" s="86"/>
      <c r="W126" s="86"/>
      <c r="X126" s="86"/>
      <c r="Y126" s="86"/>
      <c r="Z126" s="86"/>
      <c r="AA126" s="86"/>
      <c r="AB126" s="86"/>
      <c r="AC126" s="86"/>
      <c r="AD126" s="86"/>
      <c r="AE126" s="86"/>
      <c r="AF126" s="86"/>
      <c r="AG126" s="86"/>
      <c r="AH126" s="92"/>
      <c r="AI126" s="92"/>
      <c r="AJ126" s="92"/>
      <c r="AK126" s="86"/>
      <c r="AL126" s="86"/>
      <c r="AM126" s="86"/>
      <c r="AN126" s="86"/>
      <c r="AO126" s="86"/>
      <c r="AP126" s="86"/>
      <c r="AQ126" s="121"/>
    </row>
    <row r="127" spans="1:43">
      <c r="A127" s="85" t="s">
        <v>716</v>
      </c>
      <c r="B127" s="85" t="s">
        <v>166</v>
      </c>
      <c r="C127" s="85"/>
      <c r="D127" s="85" t="s">
        <v>681</v>
      </c>
      <c r="E127" s="85" t="s">
        <v>686</v>
      </c>
      <c r="F127" s="85"/>
      <c r="G127" s="94"/>
      <c r="H127" s="94"/>
      <c r="I127" s="94">
        <v>400</v>
      </c>
      <c r="J127" s="94"/>
      <c r="K127" s="85"/>
      <c r="L127" s="105"/>
      <c r="M127" s="100"/>
      <c r="N127" s="85"/>
      <c r="O127" s="85"/>
      <c r="P127" s="85"/>
      <c r="Q127" s="85"/>
      <c r="R127" s="85"/>
      <c r="S127" s="85"/>
      <c r="T127" s="85"/>
      <c r="U127" s="85"/>
      <c r="V127" s="85"/>
      <c r="W127" s="85"/>
      <c r="X127" s="85"/>
      <c r="Y127" s="85"/>
      <c r="Z127" s="85"/>
      <c r="AA127" s="85"/>
      <c r="AB127" s="85"/>
      <c r="AC127" s="85"/>
      <c r="AD127" s="85"/>
      <c r="AE127" s="85"/>
      <c r="AF127" s="85"/>
      <c r="AG127" s="85"/>
      <c r="AH127" s="94"/>
      <c r="AI127" s="94"/>
      <c r="AJ127" s="94"/>
      <c r="AK127" s="85"/>
      <c r="AL127" s="85"/>
      <c r="AM127" s="85"/>
      <c r="AN127" s="85"/>
      <c r="AO127" s="85"/>
      <c r="AP127" s="85"/>
      <c r="AQ127" s="122"/>
    </row>
    <row r="128" spans="1:43">
      <c r="A128" s="64" t="s">
        <v>166</v>
      </c>
      <c r="B128" s="64" t="s">
        <v>166</v>
      </c>
      <c r="C128" s="64"/>
      <c r="D128" s="64" t="s">
        <v>166</v>
      </c>
      <c r="E128" s="64"/>
      <c r="F128" s="64"/>
      <c r="G128" s="64"/>
      <c r="H128" s="64"/>
      <c r="I128" s="64"/>
      <c r="J128" s="64"/>
      <c r="K128" s="64"/>
      <c r="L128" s="106"/>
      <c r="M128" s="97"/>
      <c r="N128" s="64"/>
      <c r="O128" s="64"/>
      <c r="P128" s="64"/>
      <c r="Q128" s="64"/>
      <c r="R128" s="64"/>
      <c r="S128" s="64"/>
      <c r="T128" s="64"/>
      <c r="U128" s="64"/>
      <c r="V128" s="64"/>
      <c r="W128" s="64"/>
      <c r="X128" s="64"/>
      <c r="Y128" s="64"/>
      <c r="Z128" s="64"/>
      <c r="AA128" s="64" t="s">
        <v>866</v>
      </c>
      <c r="AB128" s="64" t="s">
        <v>887</v>
      </c>
      <c r="AC128" s="64" t="s">
        <v>897</v>
      </c>
      <c r="AD128" s="64" t="s">
        <v>686</v>
      </c>
      <c r="AE128" s="64"/>
      <c r="AF128" s="64"/>
      <c r="AG128" s="64" t="b">
        <v>0</v>
      </c>
      <c r="AH128" s="64">
        <v>220</v>
      </c>
      <c r="AI128" s="88">
        <v>400</v>
      </c>
      <c r="AJ128" s="88" t="b">
        <v>0</v>
      </c>
      <c r="AK128" s="64"/>
      <c r="AL128" s="64"/>
      <c r="AM128" s="64"/>
      <c r="AN128" s="64"/>
      <c r="AO128" s="64"/>
      <c r="AP128" s="64"/>
      <c r="AQ128" s="119"/>
    </row>
    <row r="129" spans="1:43">
      <c r="A129" s="64" t="s">
        <v>166</v>
      </c>
      <c r="B129" s="64" t="s">
        <v>166</v>
      </c>
      <c r="C129" s="64"/>
      <c r="D129" s="64" t="s">
        <v>166</v>
      </c>
      <c r="E129" s="64"/>
      <c r="F129" s="64"/>
      <c r="G129" s="64"/>
      <c r="H129" s="64"/>
      <c r="I129" s="64"/>
      <c r="J129" s="64"/>
      <c r="K129" s="64"/>
      <c r="L129" s="106"/>
      <c r="M129" s="97"/>
      <c r="N129" s="64"/>
      <c r="O129" s="64"/>
      <c r="P129" s="64"/>
      <c r="Q129" s="64"/>
      <c r="R129" s="64"/>
      <c r="S129" s="64"/>
      <c r="T129" s="64"/>
      <c r="U129" s="64"/>
      <c r="V129" s="64"/>
      <c r="W129" s="64"/>
      <c r="X129" s="64"/>
      <c r="Y129" s="64"/>
      <c r="Z129" s="64"/>
      <c r="AA129" s="64" t="s">
        <v>866</v>
      </c>
      <c r="AB129" s="64" t="s">
        <v>898</v>
      </c>
      <c r="AC129" s="64" t="s">
        <v>899</v>
      </c>
      <c r="AD129" s="64" t="s">
        <v>686</v>
      </c>
      <c r="AE129" s="64"/>
      <c r="AF129" s="64"/>
      <c r="AG129" s="64" t="b">
        <v>0</v>
      </c>
      <c r="AH129" s="64">
        <v>220</v>
      </c>
      <c r="AI129" s="88">
        <v>400</v>
      </c>
      <c r="AJ129" s="88" t="b">
        <v>0</v>
      </c>
      <c r="AK129" s="64"/>
      <c r="AL129" s="64"/>
      <c r="AM129" s="64"/>
      <c r="AN129" s="64"/>
      <c r="AO129" s="64"/>
      <c r="AP129" s="64"/>
      <c r="AQ129" s="119"/>
    </row>
    <row r="130" spans="1:43">
      <c r="A130" s="64" t="s">
        <v>166</v>
      </c>
      <c r="B130" s="64" t="s">
        <v>166</v>
      </c>
      <c r="C130" s="64"/>
      <c r="D130" s="64" t="s">
        <v>166</v>
      </c>
      <c r="E130" s="64"/>
      <c r="F130" s="64"/>
      <c r="G130" s="64"/>
      <c r="H130" s="64"/>
      <c r="I130" s="64"/>
      <c r="J130" s="64"/>
      <c r="K130" s="64"/>
      <c r="L130" s="106"/>
      <c r="M130" s="97"/>
      <c r="N130" s="64"/>
      <c r="O130" s="64"/>
      <c r="P130" s="64"/>
      <c r="Q130" s="64"/>
      <c r="R130" s="64"/>
      <c r="S130" s="64"/>
      <c r="T130" s="64"/>
      <c r="U130" s="64"/>
      <c r="V130" s="64"/>
      <c r="W130" s="64"/>
      <c r="X130" s="64"/>
      <c r="Y130" s="64"/>
      <c r="Z130" s="64"/>
      <c r="AA130" s="64" t="s">
        <v>866</v>
      </c>
      <c r="AB130" s="64" t="s">
        <v>898</v>
      </c>
      <c r="AC130" s="64" t="s">
        <v>900</v>
      </c>
      <c r="AD130" s="64" t="s">
        <v>686</v>
      </c>
      <c r="AE130" s="64"/>
      <c r="AF130" s="64"/>
      <c r="AG130" s="64" t="b">
        <v>0</v>
      </c>
      <c r="AH130" s="64">
        <v>220</v>
      </c>
      <c r="AI130" s="88">
        <v>400</v>
      </c>
      <c r="AJ130" s="88" t="b">
        <v>0</v>
      </c>
      <c r="AK130" s="64"/>
      <c r="AL130" s="64"/>
      <c r="AM130" s="64"/>
      <c r="AN130" s="64"/>
      <c r="AO130" s="64"/>
      <c r="AP130" s="64"/>
      <c r="AQ130" s="119"/>
    </row>
    <row r="131" spans="1:43" ht="45">
      <c r="A131" s="84" t="s">
        <v>901</v>
      </c>
      <c r="B131" s="84" t="s">
        <v>902</v>
      </c>
      <c r="C131" s="84"/>
      <c r="D131" s="84" t="s">
        <v>443</v>
      </c>
      <c r="E131" s="84" t="s">
        <v>686</v>
      </c>
      <c r="F131" s="84" t="s">
        <v>681</v>
      </c>
      <c r="G131" s="84"/>
      <c r="H131" s="90">
        <v>220</v>
      </c>
      <c r="I131" s="90">
        <v>280</v>
      </c>
      <c r="J131" s="84"/>
      <c r="K131" s="84"/>
      <c r="L131" s="102" t="s">
        <v>702</v>
      </c>
      <c r="M131" s="98"/>
      <c r="N131" s="84"/>
      <c r="O131" s="84"/>
      <c r="P131" s="84"/>
      <c r="Q131" s="84"/>
      <c r="R131" s="84"/>
      <c r="S131" s="84"/>
      <c r="T131" s="84"/>
      <c r="U131" s="84"/>
      <c r="V131" s="84"/>
      <c r="W131" s="84"/>
      <c r="X131" s="84"/>
      <c r="Y131" s="84"/>
      <c r="Z131" s="84"/>
      <c r="AA131" s="84" t="s">
        <v>903</v>
      </c>
      <c r="AB131" s="84" t="s">
        <v>582</v>
      </c>
      <c r="AC131" s="84" t="s">
        <v>904</v>
      </c>
      <c r="AD131" s="84" t="s">
        <v>686</v>
      </c>
      <c r="AE131" s="84"/>
      <c r="AF131" s="84" t="s">
        <v>681</v>
      </c>
      <c r="AG131" s="84" t="b">
        <v>1</v>
      </c>
      <c r="AH131" s="90">
        <v>220</v>
      </c>
      <c r="AI131" s="90">
        <v>400</v>
      </c>
      <c r="AJ131" s="90" t="b">
        <v>1</v>
      </c>
      <c r="AK131" s="84"/>
      <c r="AL131" s="84" t="s">
        <v>704</v>
      </c>
      <c r="AM131" s="84">
        <v>1</v>
      </c>
      <c r="AN131" s="84">
        <v>20</v>
      </c>
      <c r="AO131" s="84" t="s">
        <v>690</v>
      </c>
      <c r="AP131" s="84"/>
      <c r="AQ131" s="120" t="s">
        <v>905</v>
      </c>
    </row>
    <row r="132" spans="1:43" ht="45">
      <c r="A132" s="86" t="s">
        <v>901</v>
      </c>
      <c r="B132" s="86" t="s">
        <v>260</v>
      </c>
      <c r="C132" s="86"/>
      <c r="D132" s="86" t="s">
        <v>681</v>
      </c>
      <c r="E132" s="86" t="s">
        <v>686</v>
      </c>
      <c r="F132" s="86"/>
      <c r="G132" s="92"/>
      <c r="H132" s="92">
        <v>220</v>
      </c>
      <c r="I132" s="92">
        <v>400</v>
      </c>
      <c r="J132" s="92"/>
      <c r="K132" s="86"/>
      <c r="L132" s="104"/>
      <c r="M132" s="99"/>
      <c r="N132" s="86"/>
      <c r="O132" s="86"/>
      <c r="P132" s="86"/>
      <c r="Q132" s="86"/>
      <c r="R132" s="86"/>
      <c r="S132" s="86"/>
      <c r="T132" s="86"/>
      <c r="U132" s="86"/>
      <c r="V132" s="86"/>
      <c r="W132" s="86"/>
      <c r="X132" s="86"/>
      <c r="Y132" s="86"/>
      <c r="Z132" s="86"/>
      <c r="AA132" s="86"/>
      <c r="AB132" s="86"/>
      <c r="AC132" s="86"/>
      <c r="AD132" s="86"/>
      <c r="AE132" s="86"/>
      <c r="AF132" s="86"/>
      <c r="AG132" s="86"/>
      <c r="AH132" s="92"/>
      <c r="AI132" s="92"/>
      <c r="AJ132" s="92"/>
      <c r="AK132" s="86"/>
      <c r="AL132" s="86"/>
      <c r="AM132" s="86"/>
      <c r="AN132" s="86"/>
      <c r="AO132" s="86"/>
      <c r="AP132" s="86"/>
      <c r="AQ132" s="121"/>
    </row>
    <row r="133" spans="1:43" ht="45">
      <c r="A133" s="86" t="s">
        <v>901</v>
      </c>
      <c r="B133" s="86" t="s">
        <v>487</v>
      </c>
      <c r="C133" s="86"/>
      <c r="D133" s="86" t="s">
        <v>681</v>
      </c>
      <c r="E133" s="86" t="s">
        <v>686</v>
      </c>
      <c r="F133" s="86"/>
      <c r="G133" s="92"/>
      <c r="H133" s="92">
        <v>220</v>
      </c>
      <c r="I133" s="92">
        <v>400</v>
      </c>
      <c r="J133" s="92"/>
      <c r="K133" s="86"/>
      <c r="L133" s="104"/>
      <c r="M133" s="99"/>
      <c r="N133" s="86"/>
      <c r="O133" s="86"/>
      <c r="P133" s="86"/>
      <c r="Q133" s="86"/>
      <c r="R133" s="86"/>
      <c r="S133" s="86"/>
      <c r="T133" s="86"/>
      <c r="U133" s="86"/>
      <c r="V133" s="86"/>
      <c r="W133" s="86"/>
      <c r="X133" s="86"/>
      <c r="Y133" s="86"/>
      <c r="Z133" s="86"/>
      <c r="AA133" s="86"/>
      <c r="AB133" s="86"/>
      <c r="AC133" s="86"/>
      <c r="AD133" s="86"/>
      <c r="AE133" s="86"/>
      <c r="AF133" s="86"/>
      <c r="AG133" s="86"/>
      <c r="AH133" s="92"/>
      <c r="AI133" s="92"/>
      <c r="AJ133" s="92"/>
      <c r="AK133" s="86"/>
      <c r="AL133" s="86"/>
      <c r="AM133" s="86"/>
      <c r="AN133" s="86"/>
      <c r="AO133" s="86"/>
      <c r="AP133" s="86"/>
      <c r="AQ133" s="121"/>
    </row>
    <row r="134" spans="1:43" ht="45">
      <c r="A134" s="86" t="s">
        <v>901</v>
      </c>
      <c r="B134" s="86" t="s">
        <v>906</v>
      </c>
      <c r="C134" s="86"/>
      <c r="D134" s="86" t="s">
        <v>681</v>
      </c>
      <c r="E134" s="86" t="s">
        <v>686</v>
      </c>
      <c r="F134" s="86" t="s">
        <v>681</v>
      </c>
      <c r="G134" s="86"/>
      <c r="H134" s="92">
        <v>220</v>
      </c>
      <c r="I134" s="92">
        <v>400</v>
      </c>
      <c r="J134" s="86"/>
      <c r="K134" s="86"/>
      <c r="L134" s="104"/>
      <c r="M134" s="99"/>
      <c r="N134" s="86"/>
      <c r="O134" s="86"/>
      <c r="P134" s="86"/>
      <c r="Q134" s="86"/>
      <c r="R134" s="86"/>
      <c r="S134" s="86"/>
      <c r="T134" s="86"/>
      <c r="U134" s="86"/>
      <c r="V134" s="86"/>
      <c r="W134" s="86"/>
      <c r="X134" s="86"/>
      <c r="Y134" s="86"/>
      <c r="Z134" s="86"/>
      <c r="AA134" s="86"/>
      <c r="AB134" s="86"/>
      <c r="AC134" s="86"/>
      <c r="AD134" s="86"/>
      <c r="AE134" s="86"/>
      <c r="AF134" s="86" t="s">
        <v>681</v>
      </c>
      <c r="AG134" s="86"/>
      <c r="AH134" s="92"/>
      <c r="AI134" s="86"/>
      <c r="AJ134" s="86"/>
      <c r="AK134" s="86"/>
      <c r="AL134" s="86"/>
      <c r="AM134" s="86"/>
      <c r="AN134" s="86"/>
      <c r="AO134" s="86"/>
      <c r="AP134" s="86"/>
      <c r="AQ134" s="121"/>
    </row>
    <row r="135" spans="1:43" ht="45">
      <c r="A135" s="86" t="s">
        <v>901</v>
      </c>
      <c r="B135" s="86" t="s">
        <v>110</v>
      </c>
      <c r="C135" s="86"/>
      <c r="D135" s="86" t="s">
        <v>681</v>
      </c>
      <c r="E135" s="86" t="s">
        <v>686</v>
      </c>
      <c r="F135" s="86"/>
      <c r="G135" s="92"/>
      <c r="H135" s="92">
        <v>220</v>
      </c>
      <c r="I135" s="92">
        <v>400</v>
      </c>
      <c r="J135" s="92"/>
      <c r="K135" s="86"/>
      <c r="L135" s="104"/>
      <c r="M135" s="99"/>
      <c r="N135" s="86"/>
      <c r="O135" s="86"/>
      <c r="P135" s="86"/>
      <c r="Q135" s="86"/>
      <c r="R135" s="86"/>
      <c r="S135" s="86"/>
      <c r="T135" s="86"/>
      <c r="U135" s="86"/>
      <c r="V135" s="86"/>
      <c r="W135" s="86"/>
      <c r="X135" s="86"/>
      <c r="Y135" s="86"/>
      <c r="Z135" s="86"/>
      <c r="AA135" s="86"/>
      <c r="AB135" s="86"/>
      <c r="AC135" s="86"/>
      <c r="AD135" s="86"/>
      <c r="AE135" s="86"/>
      <c r="AF135" s="86"/>
      <c r="AG135" s="86"/>
      <c r="AH135" s="92"/>
      <c r="AI135" s="92"/>
      <c r="AJ135" s="92"/>
      <c r="AK135" s="86"/>
      <c r="AL135" s="86"/>
      <c r="AM135" s="86"/>
      <c r="AN135" s="86"/>
      <c r="AO135" s="86"/>
      <c r="AP135" s="86"/>
      <c r="AQ135" s="121"/>
    </row>
    <row r="136" spans="1:43" ht="45">
      <c r="A136" s="86" t="s">
        <v>901</v>
      </c>
      <c r="B136" s="86" t="s">
        <v>907</v>
      </c>
      <c r="C136" s="86"/>
      <c r="D136" s="86"/>
      <c r="E136" s="86" t="s">
        <v>682</v>
      </c>
      <c r="F136" s="86"/>
      <c r="G136" s="92"/>
      <c r="H136" s="92">
        <v>220</v>
      </c>
      <c r="I136" s="92">
        <v>280</v>
      </c>
      <c r="J136" s="92"/>
      <c r="K136" s="86"/>
      <c r="L136" s="104"/>
      <c r="M136" s="99"/>
      <c r="N136" s="86"/>
      <c r="O136" s="86"/>
      <c r="P136" s="86"/>
      <c r="Q136" s="86"/>
      <c r="R136" s="86"/>
      <c r="S136" s="86"/>
      <c r="T136" s="86"/>
      <c r="U136" s="86"/>
      <c r="V136" s="86"/>
      <c r="W136" s="86"/>
      <c r="X136" s="86"/>
      <c r="Y136" s="86"/>
      <c r="Z136" s="86"/>
      <c r="AA136" s="86"/>
      <c r="AB136" s="86"/>
      <c r="AC136" s="86"/>
      <c r="AD136" s="86"/>
      <c r="AE136" s="86"/>
      <c r="AF136" s="86"/>
      <c r="AG136" s="86"/>
      <c r="AH136" s="92"/>
      <c r="AI136" s="92"/>
      <c r="AJ136" s="92"/>
      <c r="AK136" s="86"/>
      <c r="AL136" s="86"/>
      <c r="AM136" s="86"/>
      <c r="AN136" s="86"/>
      <c r="AO136" s="86"/>
      <c r="AP136" s="86"/>
      <c r="AQ136" s="121"/>
    </row>
    <row r="137" spans="1:43" ht="45">
      <c r="A137" s="85" t="s">
        <v>901</v>
      </c>
      <c r="B137" s="85" t="s">
        <v>908</v>
      </c>
      <c r="C137" s="85"/>
      <c r="D137" s="85"/>
      <c r="E137" s="85" t="s">
        <v>682</v>
      </c>
      <c r="F137" s="85"/>
      <c r="G137" s="94"/>
      <c r="H137" s="94">
        <v>220</v>
      </c>
      <c r="I137" s="94">
        <v>280</v>
      </c>
      <c r="J137" s="94"/>
      <c r="K137" s="85"/>
      <c r="L137" s="105"/>
      <c r="M137" s="100"/>
      <c r="N137" s="85"/>
      <c r="O137" s="85"/>
      <c r="P137" s="85"/>
      <c r="Q137" s="85"/>
      <c r="R137" s="85"/>
      <c r="S137" s="85"/>
      <c r="T137" s="85"/>
      <c r="U137" s="85"/>
      <c r="V137" s="85"/>
      <c r="W137" s="85"/>
      <c r="X137" s="85"/>
      <c r="Y137" s="85"/>
      <c r="Z137" s="85"/>
      <c r="AA137" s="85"/>
      <c r="AB137" s="85"/>
      <c r="AC137" s="85"/>
      <c r="AD137" s="85"/>
      <c r="AE137" s="85"/>
      <c r="AF137" s="85"/>
      <c r="AG137" s="85"/>
      <c r="AH137" s="94"/>
      <c r="AI137" s="94"/>
      <c r="AJ137" s="94"/>
      <c r="AK137" s="85"/>
      <c r="AL137" s="85"/>
      <c r="AM137" s="85"/>
      <c r="AN137" s="85"/>
      <c r="AO137" s="85"/>
      <c r="AP137" s="85"/>
      <c r="AQ137" s="122"/>
    </row>
    <row r="138" spans="1:43">
      <c r="A138" s="64" t="s">
        <v>166</v>
      </c>
      <c r="B138" s="64" t="s">
        <v>166</v>
      </c>
      <c r="C138" s="64"/>
      <c r="D138" s="64" t="s">
        <v>166</v>
      </c>
      <c r="E138" s="64"/>
      <c r="F138" s="64"/>
      <c r="G138" s="64"/>
      <c r="H138" s="64"/>
      <c r="I138" s="64"/>
      <c r="J138" s="64"/>
      <c r="K138" s="64"/>
      <c r="L138" s="106"/>
      <c r="M138" s="97"/>
      <c r="N138" s="64"/>
      <c r="O138" s="64"/>
      <c r="P138" s="64"/>
      <c r="Q138" s="64"/>
      <c r="R138" s="64"/>
      <c r="S138" s="64"/>
      <c r="T138" s="64"/>
      <c r="U138" s="64"/>
      <c r="V138" s="64"/>
      <c r="W138" s="64"/>
      <c r="X138" s="64"/>
      <c r="Y138" s="64"/>
      <c r="Z138" s="64"/>
      <c r="AA138" s="64" t="s">
        <v>903</v>
      </c>
      <c r="AB138" s="64" t="s">
        <v>582</v>
      </c>
      <c r="AC138" s="64" t="s">
        <v>909</v>
      </c>
      <c r="AD138" s="64" t="s">
        <v>686</v>
      </c>
      <c r="AE138" s="64"/>
      <c r="AF138" s="64" t="s">
        <v>681</v>
      </c>
      <c r="AG138" s="64" t="b">
        <v>0</v>
      </c>
      <c r="AH138" s="64">
        <v>220</v>
      </c>
      <c r="AI138" s="88">
        <v>400</v>
      </c>
      <c r="AJ138" s="88" t="b">
        <v>1</v>
      </c>
      <c r="AK138" s="64"/>
      <c r="AL138" s="64"/>
      <c r="AM138" s="64"/>
      <c r="AN138" s="64"/>
      <c r="AO138" s="64"/>
      <c r="AP138" s="64"/>
      <c r="AQ138" s="119" t="s">
        <v>910</v>
      </c>
    </row>
    <row r="139" spans="1:43" ht="45">
      <c r="A139" s="84" t="s">
        <v>901</v>
      </c>
      <c r="B139" s="84" t="s">
        <v>911</v>
      </c>
      <c r="C139" s="84"/>
      <c r="D139" s="84" t="s">
        <v>443</v>
      </c>
      <c r="E139" s="84" t="s">
        <v>686</v>
      </c>
      <c r="F139" s="84" t="s">
        <v>681</v>
      </c>
      <c r="G139" s="84"/>
      <c r="H139" s="90">
        <v>220</v>
      </c>
      <c r="I139" s="90">
        <v>280</v>
      </c>
      <c r="J139" s="84"/>
      <c r="K139" s="84"/>
      <c r="L139" s="102" t="s">
        <v>702</v>
      </c>
      <c r="M139" s="98"/>
      <c r="N139" s="84"/>
      <c r="O139" s="84"/>
      <c r="P139" s="84"/>
      <c r="Q139" s="84"/>
      <c r="R139" s="84"/>
      <c r="S139" s="84"/>
      <c r="T139" s="84"/>
      <c r="U139" s="84"/>
      <c r="V139" s="84"/>
      <c r="W139" s="84"/>
      <c r="X139" s="84"/>
      <c r="Y139" s="84"/>
      <c r="Z139" s="84"/>
      <c r="AA139" s="84" t="s">
        <v>903</v>
      </c>
      <c r="AB139" s="84" t="s">
        <v>582</v>
      </c>
      <c r="AC139" s="84" t="s">
        <v>912</v>
      </c>
      <c r="AD139" s="84" t="s">
        <v>686</v>
      </c>
      <c r="AE139" s="84"/>
      <c r="AF139" s="84" t="s">
        <v>681</v>
      </c>
      <c r="AG139" s="84" t="b">
        <v>1</v>
      </c>
      <c r="AH139" s="90">
        <v>220</v>
      </c>
      <c r="AI139" s="90">
        <v>400</v>
      </c>
      <c r="AJ139" s="90" t="b">
        <v>1</v>
      </c>
      <c r="AK139" s="84"/>
      <c r="AL139" s="84" t="s">
        <v>704</v>
      </c>
      <c r="AM139" s="84">
        <v>1</v>
      </c>
      <c r="AN139" s="84">
        <v>20</v>
      </c>
      <c r="AO139" s="84" t="s">
        <v>690</v>
      </c>
      <c r="AP139" s="84"/>
      <c r="AQ139" s="120" t="s">
        <v>913</v>
      </c>
    </row>
    <row r="140" spans="1:43" ht="45">
      <c r="A140" s="86" t="s">
        <v>901</v>
      </c>
      <c r="B140" s="86" t="s">
        <v>260</v>
      </c>
      <c r="C140" s="86"/>
      <c r="D140" s="86" t="s">
        <v>681</v>
      </c>
      <c r="E140" s="86" t="s">
        <v>686</v>
      </c>
      <c r="F140" s="86"/>
      <c r="G140" s="92"/>
      <c r="H140" s="92">
        <v>220</v>
      </c>
      <c r="I140" s="92">
        <v>400</v>
      </c>
      <c r="J140" s="92"/>
      <c r="K140" s="86"/>
      <c r="L140" s="104"/>
      <c r="M140" s="99"/>
      <c r="N140" s="86"/>
      <c r="O140" s="86"/>
      <c r="P140" s="86"/>
      <c r="Q140" s="86"/>
      <c r="R140" s="86"/>
      <c r="S140" s="86"/>
      <c r="T140" s="86"/>
      <c r="U140" s="86"/>
      <c r="V140" s="86"/>
      <c r="W140" s="86"/>
      <c r="X140" s="86"/>
      <c r="Y140" s="86"/>
      <c r="Z140" s="86"/>
      <c r="AA140" s="86"/>
      <c r="AB140" s="86"/>
      <c r="AC140" s="86"/>
      <c r="AD140" s="86"/>
      <c r="AE140" s="86"/>
      <c r="AF140" s="86"/>
      <c r="AG140" s="86"/>
      <c r="AH140" s="92"/>
      <c r="AI140" s="92"/>
      <c r="AJ140" s="92"/>
      <c r="AK140" s="86"/>
      <c r="AL140" s="86"/>
      <c r="AM140" s="86"/>
      <c r="AN140" s="86"/>
      <c r="AO140" s="86"/>
      <c r="AP140" s="86"/>
      <c r="AQ140" s="121"/>
    </row>
    <row r="141" spans="1:43" ht="45">
      <c r="A141" s="86" t="s">
        <v>901</v>
      </c>
      <c r="B141" s="86" t="s">
        <v>487</v>
      </c>
      <c r="C141" s="86"/>
      <c r="D141" s="86" t="s">
        <v>681</v>
      </c>
      <c r="E141" s="86" t="s">
        <v>686</v>
      </c>
      <c r="F141" s="86"/>
      <c r="G141" s="92"/>
      <c r="H141" s="92">
        <v>220</v>
      </c>
      <c r="I141" s="92">
        <v>400</v>
      </c>
      <c r="J141" s="92"/>
      <c r="K141" s="86"/>
      <c r="L141" s="104"/>
      <c r="M141" s="99"/>
      <c r="N141" s="86"/>
      <c r="O141" s="86"/>
      <c r="P141" s="86"/>
      <c r="Q141" s="86"/>
      <c r="R141" s="86"/>
      <c r="S141" s="86"/>
      <c r="T141" s="86"/>
      <c r="U141" s="86"/>
      <c r="V141" s="86"/>
      <c r="W141" s="86"/>
      <c r="X141" s="86"/>
      <c r="Y141" s="86"/>
      <c r="Z141" s="86"/>
      <c r="AA141" s="86"/>
      <c r="AB141" s="86"/>
      <c r="AC141" s="86"/>
      <c r="AD141" s="86"/>
      <c r="AE141" s="86"/>
      <c r="AF141" s="86"/>
      <c r="AG141" s="86"/>
      <c r="AH141" s="92"/>
      <c r="AI141" s="92"/>
      <c r="AJ141" s="92"/>
      <c r="AK141" s="86"/>
      <c r="AL141" s="86"/>
      <c r="AM141" s="86"/>
      <c r="AN141" s="86"/>
      <c r="AO141" s="86"/>
      <c r="AP141" s="86"/>
      <c r="AQ141" s="121"/>
    </row>
    <row r="142" spans="1:43" ht="45">
      <c r="A142" s="85" t="s">
        <v>901</v>
      </c>
      <c r="B142" s="85" t="s">
        <v>906</v>
      </c>
      <c r="C142" s="85"/>
      <c r="D142" s="85" t="s">
        <v>681</v>
      </c>
      <c r="E142" s="85" t="s">
        <v>686</v>
      </c>
      <c r="F142" s="85" t="s">
        <v>681</v>
      </c>
      <c r="G142" s="85"/>
      <c r="H142" s="94">
        <v>220</v>
      </c>
      <c r="I142" s="94">
        <v>400</v>
      </c>
      <c r="J142" s="85"/>
      <c r="K142" s="85"/>
      <c r="L142" s="105"/>
      <c r="M142" s="100"/>
      <c r="N142" s="85"/>
      <c r="O142" s="85"/>
      <c r="P142" s="85"/>
      <c r="Q142" s="85"/>
      <c r="R142" s="85"/>
      <c r="S142" s="85"/>
      <c r="T142" s="85"/>
      <c r="U142" s="85"/>
      <c r="V142" s="85"/>
      <c r="W142" s="85"/>
      <c r="X142" s="85"/>
      <c r="Y142" s="85"/>
      <c r="Z142" s="85"/>
      <c r="AA142" s="85"/>
      <c r="AB142" s="85"/>
      <c r="AC142" s="85"/>
      <c r="AD142" s="85"/>
      <c r="AE142" s="85"/>
      <c r="AF142" s="85"/>
      <c r="AG142" s="85"/>
      <c r="AH142" s="94"/>
      <c r="AI142" s="85"/>
      <c r="AJ142" s="85"/>
      <c r="AK142" s="85"/>
      <c r="AL142" s="85"/>
      <c r="AM142" s="85"/>
      <c r="AN142" s="85"/>
      <c r="AO142" s="85"/>
      <c r="AP142" s="85"/>
      <c r="AQ142" s="122"/>
    </row>
    <row r="143" spans="1:43" ht="45">
      <c r="A143" s="84" t="s">
        <v>901</v>
      </c>
      <c r="B143" s="84" t="s">
        <v>914</v>
      </c>
      <c r="C143" s="84"/>
      <c r="D143" s="84" t="s">
        <v>443</v>
      </c>
      <c r="E143" s="84" t="s">
        <v>686</v>
      </c>
      <c r="F143" s="84" t="s">
        <v>681</v>
      </c>
      <c r="G143" s="84"/>
      <c r="H143" s="90">
        <v>220</v>
      </c>
      <c r="I143" s="90">
        <v>400</v>
      </c>
      <c r="J143" s="84"/>
      <c r="K143" s="84"/>
      <c r="L143" s="107"/>
      <c r="M143" s="98"/>
      <c r="N143" s="84"/>
      <c r="O143" s="84"/>
      <c r="P143" s="84"/>
      <c r="Q143" s="84"/>
      <c r="R143" s="84"/>
      <c r="S143" s="84"/>
      <c r="T143" s="84"/>
      <c r="U143" s="84"/>
      <c r="V143" s="84"/>
      <c r="W143" s="84"/>
      <c r="X143" s="84"/>
      <c r="Y143" s="84"/>
      <c r="Z143" s="84"/>
      <c r="AA143" s="84" t="s">
        <v>903</v>
      </c>
      <c r="AB143" s="84" t="s">
        <v>582</v>
      </c>
      <c r="AC143" s="84" t="s">
        <v>915</v>
      </c>
      <c r="AD143" s="84" t="s">
        <v>686</v>
      </c>
      <c r="AE143" s="84"/>
      <c r="AF143" s="84" t="s">
        <v>681</v>
      </c>
      <c r="AG143" s="84" t="b">
        <v>0</v>
      </c>
      <c r="AH143" s="90">
        <v>220</v>
      </c>
      <c r="AI143" s="90">
        <v>400</v>
      </c>
      <c r="AJ143" s="90" t="b">
        <v>1</v>
      </c>
      <c r="AK143" s="84"/>
      <c r="AL143" s="84"/>
      <c r="AM143" s="84">
        <v>1</v>
      </c>
      <c r="AN143" s="84">
        <v>1</v>
      </c>
      <c r="AO143" s="84" t="s">
        <v>696</v>
      </c>
      <c r="AP143" s="84"/>
      <c r="AQ143" s="120" t="s">
        <v>916</v>
      </c>
    </row>
    <row r="144" spans="1:43" ht="45">
      <c r="A144" s="86" t="s">
        <v>901</v>
      </c>
      <c r="B144" s="86" t="s">
        <v>865</v>
      </c>
      <c r="C144" s="86"/>
      <c r="D144" s="86" t="s">
        <v>681</v>
      </c>
      <c r="E144" s="86" t="s">
        <v>682</v>
      </c>
      <c r="F144" s="86"/>
      <c r="G144" s="86"/>
      <c r="H144" s="92">
        <v>220</v>
      </c>
      <c r="I144" s="92">
        <v>280</v>
      </c>
      <c r="J144" s="86"/>
      <c r="K144" s="86"/>
      <c r="L144" s="104"/>
      <c r="M144" s="99"/>
      <c r="N144" s="86"/>
      <c r="O144" s="86"/>
      <c r="P144" s="86"/>
      <c r="Q144" s="86"/>
      <c r="R144" s="86"/>
      <c r="S144" s="86"/>
      <c r="T144" s="86"/>
      <c r="U144" s="86"/>
      <c r="V144" s="86"/>
      <c r="W144" s="86"/>
      <c r="X144" s="86"/>
      <c r="Y144" s="86"/>
      <c r="Z144" s="86"/>
      <c r="AA144" s="86"/>
      <c r="AB144" s="86"/>
      <c r="AC144" s="86"/>
      <c r="AD144" s="86"/>
      <c r="AE144" s="86"/>
      <c r="AF144" s="86"/>
      <c r="AG144" s="86"/>
      <c r="AH144" s="92"/>
      <c r="AI144" s="86"/>
      <c r="AJ144" s="86"/>
      <c r="AK144" s="86"/>
      <c r="AL144" s="86"/>
      <c r="AM144" s="86"/>
      <c r="AN144" s="86"/>
      <c r="AO144" s="86"/>
      <c r="AP144" s="86"/>
      <c r="AQ144" s="121"/>
    </row>
    <row r="145" spans="1:43" ht="45">
      <c r="A145" s="86" t="s">
        <v>901</v>
      </c>
      <c r="B145" s="86" t="s">
        <v>886</v>
      </c>
      <c r="C145" s="86"/>
      <c r="D145" s="86" t="s">
        <v>681</v>
      </c>
      <c r="E145" s="86" t="s">
        <v>682</v>
      </c>
      <c r="F145" s="86"/>
      <c r="G145" s="86"/>
      <c r="H145" s="92">
        <v>220</v>
      </c>
      <c r="I145" s="92">
        <v>280</v>
      </c>
      <c r="J145" s="86"/>
      <c r="K145" s="86"/>
      <c r="L145" s="104"/>
      <c r="M145" s="99"/>
      <c r="N145" s="86"/>
      <c r="O145" s="86"/>
      <c r="P145" s="86"/>
      <c r="Q145" s="86"/>
      <c r="R145" s="86"/>
      <c r="S145" s="86"/>
      <c r="T145" s="86"/>
      <c r="U145" s="86"/>
      <c r="V145" s="86"/>
      <c r="W145" s="86"/>
      <c r="X145" s="86"/>
      <c r="Y145" s="86"/>
      <c r="Z145" s="86"/>
      <c r="AA145" s="86"/>
      <c r="AB145" s="86"/>
      <c r="AC145" s="86"/>
      <c r="AD145" s="86"/>
      <c r="AE145" s="86"/>
      <c r="AF145" s="86"/>
      <c r="AG145" s="86"/>
      <c r="AH145" s="92"/>
      <c r="AI145" s="86"/>
      <c r="AJ145" s="86"/>
      <c r="AK145" s="86"/>
      <c r="AL145" s="86"/>
      <c r="AM145" s="86"/>
      <c r="AN145" s="86"/>
      <c r="AO145" s="86"/>
      <c r="AP145" s="86"/>
      <c r="AQ145" s="121"/>
    </row>
    <row r="146" spans="1:43" ht="45">
      <c r="A146" s="86" t="s">
        <v>901</v>
      </c>
      <c r="B146" s="86" t="s">
        <v>260</v>
      </c>
      <c r="C146" s="86"/>
      <c r="D146" s="86" t="s">
        <v>681</v>
      </c>
      <c r="E146" s="86" t="s">
        <v>686</v>
      </c>
      <c r="F146" s="86"/>
      <c r="G146" s="92"/>
      <c r="H146" s="92">
        <v>220</v>
      </c>
      <c r="I146" s="92">
        <v>400</v>
      </c>
      <c r="J146" s="92"/>
      <c r="K146" s="86"/>
      <c r="L146" s="104"/>
      <c r="M146" s="99"/>
      <c r="N146" s="86"/>
      <c r="O146" s="86"/>
      <c r="P146" s="86"/>
      <c r="Q146" s="86"/>
      <c r="R146" s="86"/>
      <c r="S146" s="86"/>
      <c r="T146" s="86"/>
      <c r="U146" s="86"/>
      <c r="V146" s="86"/>
      <c r="W146" s="86"/>
      <c r="X146" s="86"/>
      <c r="Y146" s="86"/>
      <c r="Z146" s="86"/>
      <c r="AA146" s="86"/>
      <c r="AB146" s="86"/>
      <c r="AC146" s="86"/>
      <c r="AD146" s="86"/>
      <c r="AE146" s="86"/>
      <c r="AF146" s="86"/>
      <c r="AG146" s="86"/>
      <c r="AH146" s="92"/>
      <c r="AI146" s="92"/>
      <c r="AJ146" s="92"/>
      <c r="AK146" s="86"/>
      <c r="AL146" s="86"/>
      <c r="AM146" s="86"/>
      <c r="AN146" s="86"/>
      <c r="AO146" s="86"/>
      <c r="AP146" s="86"/>
      <c r="AQ146" s="121"/>
    </row>
    <row r="147" spans="1:43" ht="45">
      <c r="A147" s="86" t="s">
        <v>901</v>
      </c>
      <c r="B147" s="86" t="s">
        <v>487</v>
      </c>
      <c r="C147" s="86"/>
      <c r="D147" s="86" t="s">
        <v>681</v>
      </c>
      <c r="E147" s="86" t="s">
        <v>686</v>
      </c>
      <c r="F147" s="86"/>
      <c r="G147" s="92"/>
      <c r="H147" s="92">
        <v>220</v>
      </c>
      <c r="I147" s="92">
        <v>400</v>
      </c>
      <c r="J147" s="92"/>
      <c r="K147" s="86"/>
      <c r="L147" s="104"/>
      <c r="M147" s="99"/>
      <c r="N147" s="86"/>
      <c r="O147" s="86"/>
      <c r="P147" s="86"/>
      <c r="Q147" s="86"/>
      <c r="R147" s="86"/>
      <c r="S147" s="86"/>
      <c r="T147" s="86"/>
      <c r="U147" s="86"/>
      <c r="V147" s="86"/>
      <c r="W147" s="86"/>
      <c r="X147" s="86"/>
      <c r="Y147" s="86"/>
      <c r="Z147" s="86"/>
      <c r="AA147" s="86"/>
      <c r="AB147" s="86"/>
      <c r="AC147" s="86"/>
      <c r="AD147" s="86"/>
      <c r="AE147" s="86"/>
      <c r="AF147" s="86"/>
      <c r="AG147" s="86"/>
      <c r="AH147" s="92"/>
      <c r="AI147" s="92"/>
      <c r="AJ147" s="92"/>
      <c r="AK147" s="86"/>
      <c r="AL147" s="86"/>
      <c r="AM147" s="86"/>
      <c r="AN147" s="86"/>
      <c r="AO147" s="86"/>
      <c r="AP147" s="86"/>
      <c r="AQ147" s="121"/>
    </row>
    <row r="148" spans="1:43" ht="45">
      <c r="A148" s="85" t="s">
        <v>901</v>
      </c>
      <c r="B148" s="85" t="s">
        <v>906</v>
      </c>
      <c r="C148" s="85"/>
      <c r="D148" s="85" t="s">
        <v>681</v>
      </c>
      <c r="E148" s="85" t="s">
        <v>686</v>
      </c>
      <c r="F148" s="85" t="s">
        <v>681</v>
      </c>
      <c r="G148" s="85"/>
      <c r="H148" s="94">
        <v>220</v>
      </c>
      <c r="I148" s="94">
        <v>400</v>
      </c>
      <c r="J148" s="85"/>
      <c r="K148" s="85"/>
      <c r="L148" s="105"/>
      <c r="M148" s="100"/>
      <c r="N148" s="85"/>
      <c r="O148" s="85"/>
      <c r="P148" s="85"/>
      <c r="Q148" s="85"/>
      <c r="R148" s="85"/>
      <c r="S148" s="85"/>
      <c r="T148" s="85"/>
      <c r="U148" s="85"/>
      <c r="V148" s="85"/>
      <c r="W148" s="85"/>
      <c r="X148" s="85"/>
      <c r="Y148" s="85"/>
      <c r="Z148" s="85"/>
      <c r="AA148" s="85"/>
      <c r="AB148" s="85"/>
      <c r="AC148" s="85"/>
      <c r="AD148" s="85"/>
      <c r="AE148" s="85"/>
      <c r="AF148" s="85"/>
      <c r="AG148" s="85"/>
      <c r="AH148" s="94"/>
      <c r="AI148" s="85"/>
      <c r="AJ148" s="85"/>
      <c r="AK148" s="85"/>
      <c r="AL148" s="85"/>
      <c r="AM148" s="85"/>
      <c r="AN148" s="85"/>
      <c r="AO148" s="85"/>
      <c r="AP148" s="85"/>
      <c r="AQ148" s="122"/>
    </row>
    <row r="149" spans="1:43" ht="45">
      <c r="A149" s="84" t="s">
        <v>901</v>
      </c>
      <c r="B149" s="84" t="s">
        <v>917</v>
      </c>
      <c r="C149" s="84"/>
      <c r="D149" s="84"/>
      <c r="E149" s="84" t="s">
        <v>682</v>
      </c>
      <c r="F149" s="84" t="s">
        <v>681</v>
      </c>
      <c r="G149" s="90"/>
      <c r="H149" s="90">
        <v>220</v>
      </c>
      <c r="I149" s="90">
        <v>400</v>
      </c>
      <c r="J149" s="90"/>
      <c r="K149" s="84"/>
      <c r="L149" s="107"/>
      <c r="M149" s="98"/>
      <c r="N149" s="84"/>
      <c r="O149" s="84"/>
      <c r="P149" s="84"/>
      <c r="Q149" s="84"/>
      <c r="R149" s="84"/>
      <c r="S149" s="84"/>
      <c r="T149" s="84"/>
      <c r="U149" s="84"/>
      <c r="V149" s="84"/>
      <c r="W149" s="84"/>
      <c r="X149" s="84"/>
      <c r="Y149" s="84"/>
      <c r="Z149" s="84"/>
      <c r="AA149" s="84" t="s">
        <v>903</v>
      </c>
      <c r="AB149" s="84" t="s">
        <v>582</v>
      </c>
      <c r="AC149" s="84" t="s">
        <v>918</v>
      </c>
      <c r="AD149" s="84" t="s">
        <v>682</v>
      </c>
      <c r="AE149" s="84"/>
      <c r="AF149" s="84" t="s">
        <v>681</v>
      </c>
      <c r="AG149" s="84" t="b">
        <v>1</v>
      </c>
      <c r="AH149" s="90">
        <v>220</v>
      </c>
      <c r="AI149" s="90">
        <v>400</v>
      </c>
      <c r="AJ149" s="90" t="b">
        <v>0</v>
      </c>
      <c r="AK149" s="84"/>
      <c r="AL149" s="84"/>
      <c r="AM149" s="84"/>
      <c r="AN149" s="84"/>
      <c r="AO149" s="84"/>
      <c r="AP149" s="84"/>
      <c r="AQ149" s="120" t="s">
        <v>919</v>
      </c>
    </row>
    <row r="150" spans="1:43" ht="45">
      <c r="A150" s="86" t="s">
        <v>901</v>
      </c>
      <c r="B150" s="86" t="s">
        <v>920</v>
      </c>
      <c r="C150" s="86"/>
      <c r="D150" s="86" t="s">
        <v>681</v>
      </c>
      <c r="E150" s="86" t="s">
        <v>682</v>
      </c>
      <c r="F150" s="86" t="s">
        <v>681</v>
      </c>
      <c r="G150" s="86"/>
      <c r="H150" s="92">
        <v>220</v>
      </c>
      <c r="I150" s="92">
        <v>280</v>
      </c>
      <c r="J150" s="86"/>
      <c r="K150" s="86"/>
      <c r="L150" s="104"/>
      <c r="M150" s="99"/>
      <c r="N150" s="86"/>
      <c r="O150" s="86"/>
      <c r="P150" s="86"/>
      <c r="Q150" s="86"/>
      <c r="R150" s="86"/>
      <c r="S150" s="86"/>
      <c r="T150" s="86"/>
      <c r="U150" s="86"/>
      <c r="V150" s="86"/>
      <c r="W150" s="86"/>
      <c r="X150" s="86"/>
      <c r="Y150" s="86"/>
      <c r="Z150" s="86"/>
      <c r="AA150" s="86"/>
      <c r="AB150" s="86"/>
      <c r="AC150" s="86"/>
      <c r="AD150" s="86"/>
      <c r="AE150" s="86"/>
      <c r="AF150" s="86"/>
      <c r="AG150" s="86"/>
      <c r="AH150" s="92"/>
      <c r="AI150" s="86"/>
      <c r="AJ150" s="86"/>
      <c r="AK150" s="86"/>
      <c r="AL150" s="86"/>
      <c r="AM150" s="86"/>
      <c r="AN150" s="86"/>
      <c r="AO150" s="86"/>
      <c r="AP150" s="86"/>
      <c r="AQ150" s="121"/>
    </row>
    <row r="151" spans="1:43" ht="45">
      <c r="A151" s="85" t="s">
        <v>901</v>
      </c>
      <c r="B151" s="85" t="s">
        <v>921</v>
      </c>
      <c r="C151" s="85"/>
      <c r="D151" s="85" t="s">
        <v>681</v>
      </c>
      <c r="E151" s="85" t="s">
        <v>682</v>
      </c>
      <c r="F151" s="85" t="s">
        <v>681</v>
      </c>
      <c r="G151" s="85"/>
      <c r="H151" s="94">
        <v>220</v>
      </c>
      <c r="I151" s="94">
        <v>280</v>
      </c>
      <c r="J151" s="85"/>
      <c r="K151" s="85"/>
      <c r="L151" s="105"/>
      <c r="M151" s="100"/>
      <c r="N151" s="85"/>
      <c r="O151" s="85"/>
      <c r="P151" s="85"/>
      <c r="Q151" s="85"/>
      <c r="R151" s="85"/>
      <c r="S151" s="85"/>
      <c r="T151" s="85"/>
      <c r="U151" s="85"/>
      <c r="V151" s="85"/>
      <c r="W151" s="85"/>
      <c r="X151" s="85"/>
      <c r="Y151" s="85"/>
      <c r="Z151" s="85"/>
      <c r="AA151" s="85"/>
      <c r="AB151" s="85"/>
      <c r="AC151" s="85"/>
      <c r="AD151" s="85"/>
      <c r="AE151" s="85"/>
      <c r="AF151" s="85"/>
      <c r="AG151" s="85"/>
      <c r="AH151" s="94"/>
      <c r="AI151" s="85"/>
      <c r="AJ151" s="85"/>
      <c r="AK151" s="85"/>
      <c r="AL151" s="85"/>
      <c r="AM151" s="85"/>
      <c r="AN151" s="85"/>
      <c r="AO151" s="85"/>
      <c r="AP151" s="85"/>
      <c r="AQ151" s="122"/>
    </row>
    <row r="152" spans="1:43" ht="45">
      <c r="A152" s="84" t="s">
        <v>901</v>
      </c>
      <c r="B152" s="84" t="s">
        <v>922</v>
      </c>
      <c r="C152" s="84"/>
      <c r="D152" s="84" t="s">
        <v>443</v>
      </c>
      <c r="E152" s="84" t="s">
        <v>682</v>
      </c>
      <c r="F152" s="84" t="s">
        <v>681</v>
      </c>
      <c r="G152" s="90" t="s">
        <v>754</v>
      </c>
      <c r="H152" s="90">
        <v>220</v>
      </c>
      <c r="I152" s="90">
        <v>400</v>
      </c>
      <c r="J152" s="90"/>
      <c r="K152" s="84"/>
      <c r="L152" s="107"/>
      <c r="M152" s="98"/>
      <c r="N152" s="84"/>
      <c r="O152" s="84"/>
      <c r="P152" s="84"/>
      <c r="Q152" s="84"/>
      <c r="R152" s="84"/>
      <c r="S152" s="84"/>
      <c r="T152" s="84"/>
      <c r="U152" s="84"/>
      <c r="V152" s="84"/>
      <c r="W152" s="84"/>
      <c r="X152" s="84"/>
      <c r="Y152" s="84"/>
      <c r="Z152" s="84"/>
      <c r="AA152" s="84" t="s">
        <v>903</v>
      </c>
      <c r="AB152" s="84" t="s">
        <v>582</v>
      </c>
      <c r="AC152" s="84" t="s">
        <v>923</v>
      </c>
      <c r="AD152" s="84" t="s">
        <v>682</v>
      </c>
      <c r="AE152" s="84"/>
      <c r="AF152" s="84" t="s">
        <v>681</v>
      </c>
      <c r="AG152" s="84" t="b">
        <v>1</v>
      </c>
      <c r="AH152" s="90">
        <v>220</v>
      </c>
      <c r="AI152" s="90">
        <v>400</v>
      </c>
      <c r="AJ152" s="90" t="b">
        <v>1</v>
      </c>
      <c r="AK152" s="84"/>
      <c r="AL152" s="84"/>
      <c r="AM152" s="84"/>
      <c r="AN152" s="84"/>
      <c r="AO152" s="84"/>
      <c r="AP152" s="84"/>
      <c r="AQ152" s="120" t="s">
        <v>924</v>
      </c>
    </row>
    <row r="153" spans="1:43" ht="45">
      <c r="A153" s="86" t="s">
        <v>901</v>
      </c>
      <c r="B153" s="86" t="s">
        <v>865</v>
      </c>
      <c r="C153" s="86"/>
      <c r="D153" s="86" t="s">
        <v>681</v>
      </c>
      <c r="E153" s="86" t="s">
        <v>682</v>
      </c>
      <c r="F153" s="86"/>
      <c r="G153" s="86"/>
      <c r="H153" s="92">
        <v>220</v>
      </c>
      <c r="I153" s="92">
        <v>280</v>
      </c>
      <c r="J153" s="86"/>
      <c r="K153" s="86"/>
      <c r="L153" s="104"/>
      <c r="M153" s="99"/>
      <c r="N153" s="86"/>
      <c r="O153" s="86"/>
      <c r="P153" s="86"/>
      <c r="Q153" s="86"/>
      <c r="R153" s="86"/>
      <c r="S153" s="86"/>
      <c r="T153" s="86"/>
      <c r="U153" s="86"/>
      <c r="V153" s="86"/>
      <c r="W153" s="86"/>
      <c r="X153" s="86"/>
      <c r="Y153" s="86"/>
      <c r="Z153" s="86"/>
      <c r="AA153" s="86"/>
      <c r="AB153" s="86"/>
      <c r="AC153" s="86"/>
      <c r="AD153" s="86"/>
      <c r="AE153" s="86"/>
      <c r="AF153" s="86"/>
      <c r="AG153" s="86"/>
      <c r="AH153" s="92"/>
      <c r="AI153" s="86"/>
      <c r="AJ153" s="86"/>
      <c r="AK153" s="86"/>
      <c r="AL153" s="86"/>
      <c r="AM153" s="86"/>
      <c r="AN153" s="86"/>
      <c r="AO153" s="86"/>
      <c r="AP153" s="86"/>
      <c r="AQ153" s="121"/>
    </row>
    <row r="154" spans="1:43" ht="45">
      <c r="A154" s="86" t="s">
        <v>901</v>
      </c>
      <c r="B154" s="86" t="s">
        <v>886</v>
      </c>
      <c r="C154" s="86"/>
      <c r="D154" s="86" t="s">
        <v>681</v>
      </c>
      <c r="E154" s="86" t="s">
        <v>682</v>
      </c>
      <c r="F154" s="86"/>
      <c r="G154" s="86"/>
      <c r="H154" s="92">
        <v>220</v>
      </c>
      <c r="I154" s="92">
        <v>280</v>
      </c>
      <c r="J154" s="86"/>
      <c r="K154" s="86"/>
      <c r="L154" s="104"/>
      <c r="M154" s="99"/>
      <c r="N154" s="86"/>
      <c r="O154" s="86"/>
      <c r="P154" s="86"/>
      <c r="Q154" s="86"/>
      <c r="R154" s="86"/>
      <c r="S154" s="86"/>
      <c r="T154" s="86"/>
      <c r="U154" s="86"/>
      <c r="V154" s="86"/>
      <c r="W154" s="86"/>
      <c r="X154" s="86"/>
      <c r="Y154" s="86"/>
      <c r="Z154" s="86"/>
      <c r="AA154" s="86"/>
      <c r="AB154" s="86"/>
      <c r="AC154" s="86"/>
      <c r="AD154" s="86"/>
      <c r="AE154" s="86"/>
      <c r="AF154" s="86"/>
      <c r="AG154" s="86"/>
      <c r="AH154" s="92"/>
      <c r="AI154" s="86"/>
      <c r="AJ154" s="86"/>
      <c r="AK154" s="86"/>
      <c r="AL154" s="86"/>
      <c r="AM154" s="86"/>
      <c r="AN154" s="86"/>
      <c r="AO154" s="86"/>
      <c r="AP154" s="86"/>
      <c r="AQ154" s="121"/>
    </row>
    <row r="155" spans="1:43" ht="45">
      <c r="A155" s="86" t="s">
        <v>901</v>
      </c>
      <c r="B155" s="86" t="s">
        <v>260</v>
      </c>
      <c r="C155" s="86"/>
      <c r="D155" s="86" t="s">
        <v>681</v>
      </c>
      <c r="E155" s="86" t="s">
        <v>686</v>
      </c>
      <c r="F155" s="86"/>
      <c r="G155" s="92"/>
      <c r="H155" s="92">
        <v>220</v>
      </c>
      <c r="I155" s="92">
        <v>400</v>
      </c>
      <c r="J155" s="92"/>
      <c r="K155" s="86"/>
      <c r="L155" s="104"/>
      <c r="M155" s="99"/>
      <c r="N155" s="86"/>
      <c r="O155" s="86"/>
      <c r="P155" s="86"/>
      <c r="Q155" s="86"/>
      <c r="R155" s="86"/>
      <c r="S155" s="86"/>
      <c r="T155" s="86"/>
      <c r="U155" s="86"/>
      <c r="V155" s="86"/>
      <c r="W155" s="86"/>
      <c r="X155" s="86"/>
      <c r="Y155" s="86"/>
      <c r="Z155" s="86"/>
      <c r="AA155" s="86"/>
      <c r="AB155" s="86"/>
      <c r="AC155" s="86"/>
      <c r="AD155" s="86"/>
      <c r="AE155" s="86"/>
      <c r="AF155" s="86"/>
      <c r="AG155" s="86"/>
      <c r="AH155" s="92"/>
      <c r="AI155" s="92"/>
      <c r="AJ155" s="92"/>
      <c r="AK155" s="86"/>
      <c r="AL155" s="86"/>
      <c r="AM155" s="86"/>
      <c r="AN155" s="86"/>
      <c r="AO155" s="86"/>
      <c r="AP155" s="86"/>
      <c r="AQ155" s="121"/>
    </row>
    <row r="156" spans="1:43" ht="45">
      <c r="A156" s="86" t="s">
        <v>901</v>
      </c>
      <c r="B156" s="86" t="s">
        <v>487</v>
      </c>
      <c r="C156" s="86"/>
      <c r="D156" s="86" t="s">
        <v>681</v>
      </c>
      <c r="E156" s="86" t="s">
        <v>686</v>
      </c>
      <c r="F156" s="86"/>
      <c r="G156" s="92"/>
      <c r="H156" s="92">
        <v>220</v>
      </c>
      <c r="I156" s="92">
        <v>400</v>
      </c>
      <c r="J156" s="92"/>
      <c r="K156" s="86"/>
      <c r="L156" s="104"/>
      <c r="M156" s="99"/>
      <c r="N156" s="86"/>
      <c r="O156" s="86"/>
      <c r="P156" s="86"/>
      <c r="Q156" s="86"/>
      <c r="R156" s="86"/>
      <c r="S156" s="86"/>
      <c r="T156" s="86"/>
      <c r="U156" s="86"/>
      <c r="V156" s="86"/>
      <c r="W156" s="86"/>
      <c r="X156" s="86"/>
      <c r="Y156" s="86"/>
      <c r="Z156" s="86"/>
      <c r="AA156" s="86"/>
      <c r="AB156" s="86"/>
      <c r="AC156" s="86"/>
      <c r="AD156" s="86"/>
      <c r="AE156" s="86"/>
      <c r="AF156" s="86"/>
      <c r="AG156" s="86"/>
      <c r="AH156" s="92"/>
      <c r="AI156" s="92"/>
      <c r="AJ156" s="92"/>
      <c r="AK156" s="86"/>
      <c r="AL156" s="86"/>
      <c r="AM156" s="86"/>
      <c r="AN156" s="86"/>
      <c r="AO156" s="86"/>
      <c r="AP156" s="86"/>
      <c r="AQ156" s="121"/>
    </row>
    <row r="157" spans="1:43" ht="45">
      <c r="A157" s="85" t="s">
        <v>901</v>
      </c>
      <c r="B157" s="85" t="s">
        <v>906</v>
      </c>
      <c r="C157" s="85"/>
      <c r="D157" s="85" t="s">
        <v>681</v>
      </c>
      <c r="E157" s="85" t="s">
        <v>686</v>
      </c>
      <c r="F157" s="85" t="s">
        <v>681</v>
      </c>
      <c r="G157" s="85"/>
      <c r="H157" s="94">
        <v>220</v>
      </c>
      <c r="I157" s="94">
        <v>400</v>
      </c>
      <c r="J157" s="85"/>
      <c r="K157" s="85"/>
      <c r="L157" s="105"/>
      <c r="M157" s="100"/>
      <c r="N157" s="85"/>
      <c r="O157" s="85"/>
      <c r="P157" s="85"/>
      <c r="Q157" s="85"/>
      <c r="R157" s="85"/>
      <c r="S157" s="85"/>
      <c r="T157" s="85"/>
      <c r="U157" s="85"/>
      <c r="V157" s="85"/>
      <c r="W157" s="85"/>
      <c r="X157" s="85"/>
      <c r="Y157" s="85"/>
      <c r="Z157" s="85"/>
      <c r="AA157" s="85"/>
      <c r="AB157" s="85"/>
      <c r="AC157" s="85"/>
      <c r="AD157" s="85"/>
      <c r="AE157" s="85"/>
      <c r="AF157" s="85"/>
      <c r="AG157" s="85"/>
      <c r="AH157" s="94"/>
      <c r="AI157" s="85"/>
      <c r="AJ157" s="85"/>
      <c r="AK157" s="85"/>
      <c r="AL157" s="85"/>
      <c r="AM157" s="85"/>
      <c r="AN157" s="85"/>
      <c r="AO157" s="85"/>
      <c r="AP157" s="85"/>
      <c r="AQ157" s="122"/>
    </row>
    <row r="158" spans="1:43">
      <c r="A158" s="64" t="s">
        <v>166</v>
      </c>
      <c r="B158" s="64" t="s">
        <v>166</v>
      </c>
      <c r="C158" s="64"/>
      <c r="D158" s="64" t="s">
        <v>166</v>
      </c>
      <c r="E158" s="64"/>
      <c r="F158" s="64"/>
      <c r="G158" s="64"/>
      <c r="H158" s="64"/>
      <c r="I158" s="64"/>
      <c r="J158" s="64"/>
      <c r="K158" s="64"/>
      <c r="L158" s="106"/>
      <c r="M158" s="97"/>
      <c r="N158" s="64"/>
      <c r="O158" s="64"/>
      <c r="P158" s="64"/>
      <c r="Q158" s="64"/>
      <c r="R158" s="64"/>
      <c r="S158" s="64"/>
      <c r="T158" s="64"/>
      <c r="U158" s="64"/>
      <c r="V158" s="64"/>
      <c r="W158" s="64"/>
      <c r="X158" s="64"/>
      <c r="Y158" s="64"/>
      <c r="Z158" s="64"/>
      <c r="AA158" s="64" t="s">
        <v>903</v>
      </c>
      <c r="AB158" s="64" t="s">
        <v>582</v>
      </c>
      <c r="AC158" s="64" t="s">
        <v>925</v>
      </c>
      <c r="AD158" s="64" t="s">
        <v>686</v>
      </c>
      <c r="AE158" s="64"/>
      <c r="AF158" s="64" t="s">
        <v>681</v>
      </c>
      <c r="AG158" s="64" t="b">
        <v>0</v>
      </c>
      <c r="AH158" s="64">
        <v>220</v>
      </c>
      <c r="AI158" s="88">
        <v>400</v>
      </c>
      <c r="AJ158" s="88" t="b">
        <v>1</v>
      </c>
      <c r="AK158" s="64"/>
      <c r="AL158" s="64"/>
      <c r="AM158" s="64"/>
      <c r="AN158" s="64"/>
      <c r="AO158" s="64"/>
      <c r="AP158" s="64"/>
      <c r="AQ158" s="119" t="s">
        <v>926</v>
      </c>
    </row>
    <row r="159" spans="1:43" ht="45">
      <c r="A159" s="84" t="s">
        <v>901</v>
      </c>
      <c r="B159" s="84" t="s">
        <v>927</v>
      </c>
      <c r="C159" s="84"/>
      <c r="D159" s="84" t="s">
        <v>681</v>
      </c>
      <c r="E159" s="84" t="s">
        <v>928</v>
      </c>
      <c r="F159" s="84" t="s">
        <v>681</v>
      </c>
      <c r="G159" s="84" t="s">
        <v>710</v>
      </c>
      <c r="H159" s="84">
        <v>220</v>
      </c>
      <c r="I159" s="84">
        <v>200</v>
      </c>
      <c r="J159" s="84"/>
      <c r="K159" s="84"/>
      <c r="L159" s="107"/>
      <c r="M159" s="98"/>
      <c r="N159" s="84"/>
      <c r="O159" s="84"/>
      <c r="P159" s="84"/>
      <c r="Q159" s="84"/>
      <c r="R159" s="84"/>
      <c r="S159" s="84"/>
      <c r="T159" s="84"/>
      <c r="U159" s="84"/>
      <c r="V159" s="84"/>
      <c r="W159" s="84"/>
      <c r="X159" s="84"/>
      <c r="Y159" s="84"/>
      <c r="Z159" s="84"/>
      <c r="AA159" s="84" t="s">
        <v>903</v>
      </c>
      <c r="AB159" s="84" t="s">
        <v>582</v>
      </c>
      <c r="AC159" s="84" t="s">
        <v>929</v>
      </c>
      <c r="AD159" s="84" t="s">
        <v>686</v>
      </c>
      <c r="AE159" s="84"/>
      <c r="AF159" s="84" t="s">
        <v>681</v>
      </c>
      <c r="AG159" s="84" t="b">
        <v>1</v>
      </c>
      <c r="AH159" s="84">
        <v>220</v>
      </c>
      <c r="AI159" s="90">
        <v>400</v>
      </c>
      <c r="AJ159" s="90" t="b">
        <v>1</v>
      </c>
      <c r="AK159" s="84" t="s">
        <v>714</v>
      </c>
      <c r="AL159" s="84"/>
      <c r="AM159" s="84"/>
      <c r="AN159" s="84"/>
      <c r="AO159" s="84"/>
      <c r="AP159" s="84"/>
      <c r="AQ159" s="120" t="s">
        <v>930</v>
      </c>
    </row>
    <row r="160" spans="1:43" ht="45">
      <c r="A160" s="86" t="s">
        <v>901</v>
      </c>
      <c r="B160" s="86" t="s">
        <v>865</v>
      </c>
      <c r="C160" s="86"/>
      <c r="D160" s="86" t="s">
        <v>681</v>
      </c>
      <c r="E160" s="86" t="s">
        <v>682</v>
      </c>
      <c r="F160" s="86"/>
      <c r="G160" s="86"/>
      <c r="H160" s="92">
        <v>220</v>
      </c>
      <c r="I160" s="92">
        <v>280</v>
      </c>
      <c r="J160" s="86"/>
      <c r="K160" s="86"/>
      <c r="L160" s="104"/>
      <c r="M160" s="99"/>
      <c r="N160" s="86"/>
      <c r="O160" s="86"/>
      <c r="P160" s="86"/>
      <c r="Q160" s="86"/>
      <c r="R160" s="86"/>
      <c r="S160" s="86"/>
      <c r="T160" s="86"/>
      <c r="U160" s="86"/>
      <c r="V160" s="86"/>
      <c r="W160" s="86"/>
      <c r="X160" s="86"/>
      <c r="Y160" s="86"/>
      <c r="Z160" s="86"/>
      <c r="AA160" s="86"/>
      <c r="AB160" s="86"/>
      <c r="AC160" s="86"/>
      <c r="AD160" s="86"/>
      <c r="AE160" s="86"/>
      <c r="AF160" s="86"/>
      <c r="AG160" s="86"/>
      <c r="AH160" s="92"/>
      <c r="AI160" s="86"/>
      <c r="AJ160" s="86"/>
      <c r="AK160" s="86"/>
      <c r="AL160" s="86"/>
      <c r="AM160" s="86"/>
      <c r="AN160" s="86"/>
      <c r="AO160" s="86"/>
      <c r="AP160" s="86"/>
      <c r="AQ160" s="121"/>
    </row>
    <row r="161" spans="1:43" ht="45">
      <c r="A161" s="86" t="s">
        <v>901</v>
      </c>
      <c r="B161" s="86" t="s">
        <v>886</v>
      </c>
      <c r="C161" s="86"/>
      <c r="D161" s="86" t="s">
        <v>681</v>
      </c>
      <c r="E161" s="86" t="s">
        <v>682</v>
      </c>
      <c r="F161" s="86"/>
      <c r="G161" s="86"/>
      <c r="H161" s="92">
        <v>220</v>
      </c>
      <c r="I161" s="92">
        <v>280</v>
      </c>
      <c r="J161" s="86"/>
      <c r="K161" s="86"/>
      <c r="L161" s="104"/>
      <c r="M161" s="99"/>
      <c r="N161" s="86"/>
      <c r="O161" s="86"/>
      <c r="P161" s="86"/>
      <c r="Q161" s="86"/>
      <c r="R161" s="86"/>
      <c r="S161" s="86"/>
      <c r="T161" s="86"/>
      <c r="U161" s="86"/>
      <c r="V161" s="86"/>
      <c r="W161" s="86"/>
      <c r="X161" s="86"/>
      <c r="Y161" s="86"/>
      <c r="Z161" s="86"/>
      <c r="AA161" s="86"/>
      <c r="AB161" s="86"/>
      <c r="AC161" s="86"/>
      <c r="AD161" s="86"/>
      <c r="AE161" s="86"/>
      <c r="AF161" s="86"/>
      <c r="AG161" s="86"/>
      <c r="AH161" s="92"/>
      <c r="AI161" s="86"/>
      <c r="AJ161" s="86"/>
      <c r="AK161" s="86"/>
      <c r="AL161" s="86"/>
      <c r="AM161" s="86"/>
      <c r="AN161" s="86"/>
      <c r="AO161" s="86"/>
      <c r="AP161" s="86"/>
      <c r="AQ161" s="121"/>
    </row>
    <row r="162" spans="1:43" ht="45">
      <c r="A162" s="86" t="s">
        <v>901</v>
      </c>
      <c r="B162" s="86" t="s">
        <v>260</v>
      </c>
      <c r="C162" s="86"/>
      <c r="D162" s="86" t="s">
        <v>681</v>
      </c>
      <c r="E162" s="86" t="s">
        <v>686</v>
      </c>
      <c r="F162" s="86"/>
      <c r="G162" s="92"/>
      <c r="H162" s="92">
        <v>220</v>
      </c>
      <c r="I162" s="92">
        <v>400</v>
      </c>
      <c r="J162" s="92"/>
      <c r="K162" s="86"/>
      <c r="L162" s="104"/>
      <c r="M162" s="99"/>
      <c r="N162" s="86"/>
      <c r="O162" s="86"/>
      <c r="P162" s="86"/>
      <c r="Q162" s="86"/>
      <c r="R162" s="86"/>
      <c r="S162" s="86"/>
      <c r="T162" s="86"/>
      <c r="U162" s="86"/>
      <c r="V162" s="86"/>
      <c r="W162" s="86"/>
      <c r="X162" s="86"/>
      <c r="Y162" s="86"/>
      <c r="Z162" s="86"/>
      <c r="AA162" s="86"/>
      <c r="AB162" s="86"/>
      <c r="AC162" s="86"/>
      <c r="AD162" s="86"/>
      <c r="AE162" s="86"/>
      <c r="AF162" s="86"/>
      <c r="AG162" s="86"/>
      <c r="AH162" s="92"/>
      <c r="AI162" s="92"/>
      <c r="AJ162" s="92"/>
      <c r="AK162" s="86"/>
      <c r="AL162" s="86"/>
      <c r="AM162" s="86"/>
      <c r="AN162" s="86"/>
      <c r="AO162" s="86"/>
      <c r="AP162" s="86"/>
      <c r="AQ162" s="121"/>
    </row>
    <row r="163" spans="1:43" ht="45">
      <c r="A163" s="86" t="s">
        <v>901</v>
      </c>
      <c r="B163" s="86" t="s">
        <v>487</v>
      </c>
      <c r="C163" s="86"/>
      <c r="D163" s="86" t="s">
        <v>681</v>
      </c>
      <c r="E163" s="86" t="s">
        <v>686</v>
      </c>
      <c r="F163" s="86"/>
      <c r="G163" s="92"/>
      <c r="H163" s="92">
        <v>220</v>
      </c>
      <c r="I163" s="92">
        <v>400</v>
      </c>
      <c r="J163" s="92"/>
      <c r="K163" s="86"/>
      <c r="L163" s="104"/>
      <c r="M163" s="99"/>
      <c r="N163" s="86"/>
      <c r="O163" s="86"/>
      <c r="P163" s="86"/>
      <c r="Q163" s="86"/>
      <c r="R163" s="86"/>
      <c r="S163" s="86"/>
      <c r="T163" s="86"/>
      <c r="U163" s="86"/>
      <c r="V163" s="86"/>
      <c r="W163" s="86"/>
      <c r="X163" s="86"/>
      <c r="Y163" s="86"/>
      <c r="Z163" s="86"/>
      <c r="AA163" s="86"/>
      <c r="AB163" s="86"/>
      <c r="AC163" s="86"/>
      <c r="AD163" s="86"/>
      <c r="AE163" s="86"/>
      <c r="AF163" s="86"/>
      <c r="AG163" s="86"/>
      <c r="AH163" s="92"/>
      <c r="AI163" s="92"/>
      <c r="AJ163" s="92"/>
      <c r="AK163" s="86"/>
      <c r="AL163" s="86"/>
      <c r="AM163" s="86"/>
      <c r="AN163" s="86"/>
      <c r="AO163" s="86"/>
      <c r="AP163" s="86"/>
      <c r="AQ163" s="121"/>
    </row>
    <row r="164" spans="1:43" ht="45">
      <c r="A164" s="85" t="s">
        <v>901</v>
      </c>
      <c r="B164" s="85" t="s">
        <v>906</v>
      </c>
      <c r="C164" s="85"/>
      <c r="D164" s="85" t="s">
        <v>681</v>
      </c>
      <c r="E164" s="85" t="s">
        <v>686</v>
      </c>
      <c r="F164" s="85" t="s">
        <v>681</v>
      </c>
      <c r="G164" s="85"/>
      <c r="H164" s="94">
        <v>220</v>
      </c>
      <c r="I164" s="94">
        <v>400</v>
      </c>
      <c r="J164" s="85"/>
      <c r="K164" s="85"/>
      <c r="L164" s="105"/>
      <c r="M164" s="100"/>
      <c r="N164" s="85"/>
      <c r="O164" s="85"/>
      <c r="P164" s="85"/>
      <c r="Q164" s="85"/>
      <c r="R164" s="85"/>
      <c r="S164" s="85"/>
      <c r="T164" s="85"/>
      <c r="U164" s="85"/>
      <c r="V164" s="85"/>
      <c r="W164" s="85"/>
      <c r="X164" s="85"/>
      <c r="Y164" s="85"/>
      <c r="Z164" s="85"/>
      <c r="AA164" s="85"/>
      <c r="AB164" s="85"/>
      <c r="AC164" s="85"/>
      <c r="AD164" s="85"/>
      <c r="AE164" s="85"/>
      <c r="AF164" s="85"/>
      <c r="AG164" s="85"/>
      <c r="AH164" s="94"/>
      <c r="AI164" s="85"/>
      <c r="AJ164" s="85"/>
      <c r="AK164" s="85"/>
      <c r="AL164" s="85"/>
      <c r="AM164" s="85"/>
      <c r="AN164" s="85"/>
      <c r="AO164" s="85"/>
      <c r="AP164" s="85"/>
      <c r="AQ164" s="122"/>
    </row>
    <row r="165" spans="1:43" ht="45">
      <c r="A165" s="84" t="s">
        <v>901</v>
      </c>
      <c r="B165" s="84" t="s">
        <v>927</v>
      </c>
      <c r="C165" s="84"/>
      <c r="D165" s="84" t="s">
        <v>681</v>
      </c>
      <c r="E165" s="84" t="s">
        <v>928</v>
      </c>
      <c r="F165" s="84" t="s">
        <v>681</v>
      </c>
      <c r="G165" s="84" t="s">
        <v>710</v>
      </c>
      <c r="H165" s="84">
        <v>220</v>
      </c>
      <c r="I165" s="84">
        <v>200</v>
      </c>
      <c r="J165" s="84"/>
      <c r="K165" s="84"/>
      <c r="L165" s="107"/>
      <c r="M165" s="98"/>
      <c r="N165" s="84"/>
      <c r="O165" s="84"/>
      <c r="P165" s="84"/>
      <c r="Q165" s="84"/>
      <c r="R165" s="84"/>
      <c r="S165" s="84"/>
      <c r="T165" s="84"/>
      <c r="U165" s="84"/>
      <c r="V165" s="84"/>
      <c r="W165" s="84"/>
      <c r="X165" s="84"/>
      <c r="Y165" s="84"/>
      <c r="Z165" s="84"/>
      <c r="AA165" s="84" t="s">
        <v>903</v>
      </c>
      <c r="AB165" s="84" t="s">
        <v>582</v>
      </c>
      <c r="AC165" s="84" t="s">
        <v>931</v>
      </c>
      <c r="AD165" s="84" t="s">
        <v>686</v>
      </c>
      <c r="AE165" s="84"/>
      <c r="AF165" s="84" t="s">
        <v>681</v>
      </c>
      <c r="AG165" s="84" t="b">
        <v>1</v>
      </c>
      <c r="AH165" s="84">
        <v>220</v>
      </c>
      <c r="AI165" s="90">
        <v>400</v>
      </c>
      <c r="AJ165" s="90" t="b">
        <v>1</v>
      </c>
      <c r="AK165" s="84" t="s">
        <v>719</v>
      </c>
      <c r="AL165" s="84"/>
      <c r="AM165" s="84"/>
      <c r="AN165" s="84"/>
      <c r="AO165" s="84"/>
      <c r="AP165" s="84"/>
      <c r="AQ165" s="120" t="s">
        <v>932</v>
      </c>
    </row>
    <row r="166" spans="1:43" ht="45">
      <c r="A166" s="86" t="s">
        <v>901</v>
      </c>
      <c r="B166" s="86" t="s">
        <v>865</v>
      </c>
      <c r="C166" s="86"/>
      <c r="D166" s="86" t="s">
        <v>681</v>
      </c>
      <c r="E166" s="86" t="s">
        <v>682</v>
      </c>
      <c r="F166" s="86"/>
      <c r="G166" s="86"/>
      <c r="H166" s="92">
        <v>220</v>
      </c>
      <c r="I166" s="92">
        <v>280</v>
      </c>
      <c r="J166" s="86"/>
      <c r="K166" s="86"/>
      <c r="L166" s="104"/>
      <c r="M166" s="99"/>
      <c r="N166" s="86"/>
      <c r="O166" s="86"/>
      <c r="P166" s="86"/>
      <c r="Q166" s="86"/>
      <c r="R166" s="86"/>
      <c r="S166" s="86"/>
      <c r="T166" s="86"/>
      <c r="U166" s="86"/>
      <c r="V166" s="86"/>
      <c r="W166" s="86"/>
      <c r="X166" s="86"/>
      <c r="Y166" s="86"/>
      <c r="Z166" s="86"/>
      <c r="AA166" s="86"/>
      <c r="AB166" s="86"/>
      <c r="AC166" s="86"/>
      <c r="AD166" s="86"/>
      <c r="AE166" s="86"/>
      <c r="AF166" s="86"/>
      <c r="AG166" s="86"/>
      <c r="AH166" s="92"/>
      <c r="AI166" s="86"/>
      <c r="AJ166" s="86"/>
      <c r="AK166" s="86"/>
      <c r="AL166" s="86"/>
      <c r="AM166" s="86"/>
      <c r="AN166" s="86"/>
      <c r="AO166" s="86"/>
      <c r="AP166" s="86"/>
      <c r="AQ166" s="121"/>
    </row>
    <row r="167" spans="1:43" ht="45">
      <c r="A167" s="86" t="s">
        <v>901</v>
      </c>
      <c r="B167" s="86" t="s">
        <v>886</v>
      </c>
      <c r="C167" s="86"/>
      <c r="D167" s="86" t="s">
        <v>681</v>
      </c>
      <c r="E167" s="86" t="s">
        <v>682</v>
      </c>
      <c r="F167" s="86"/>
      <c r="G167" s="86"/>
      <c r="H167" s="92">
        <v>220</v>
      </c>
      <c r="I167" s="92">
        <v>280</v>
      </c>
      <c r="J167" s="86"/>
      <c r="K167" s="86"/>
      <c r="L167" s="104"/>
      <c r="M167" s="99"/>
      <c r="N167" s="86"/>
      <c r="O167" s="86"/>
      <c r="P167" s="86"/>
      <c r="Q167" s="86"/>
      <c r="R167" s="86"/>
      <c r="S167" s="86"/>
      <c r="T167" s="86"/>
      <c r="U167" s="86"/>
      <c r="V167" s="86"/>
      <c r="W167" s="86"/>
      <c r="X167" s="86"/>
      <c r="Y167" s="86"/>
      <c r="Z167" s="86"/>
      <c r="AA167" s="86"/>
      <c r="AB167" s="86"/>
      <c r="AC167" s="86"/>
      <c r="AD167" s="86"/>
      <c r="AE167" s="86"/>
      <c r="AF167" s="86"/>
      <c r="AG167" s="86"/>
      <c r="AH167" s="92"/>
      <c r="AI167" s="86"/>
      <c r="AJ167" s="86"/>
      <c r="AK167" s="86"/>
      <c r="AL167" s="86"/>
      <c r="AM167" s="86"/>
      <c r="AN167" s="86"/>
      <c r="AO167" s="86"/>
      <c r="AP167" s="86"/>
      <c r="AQ167" s="121"/>
    </row>
    <row r="168" spans="1:43" ht="45">
      <c r="A168" s="86" t="s">
        <v>901</v>
      </c>
      <c r="B168" s="86" t="s">
        <v>260</v>
      </c>
      <c r="C168" s="86"/>
      <c r="D168" s="86" t="s">
        <v>681</v>
      </c>
      <c r="E168" s="86" t="s">
        <v>686</v>
      </c>
      <c r="F168" s="86"/>
      <c r="G168" s="92"/>
      <c r="H168" s="92">
        <v>220</v>
      </c>
      <c r="I168" s="92">
        <v>400</v>
      </c>
      <c r="J168" s="92"/>
      <c r="K168" s="86"/>
      <c r="L168" s="104"/>
      <c r="M168" s="99"/>
      <c r="N168" s="86"/>
      <c r="O168" s="86"/>
      <c r="P168" s="86"/>
      <c r="Q168" s="86"/>
      <c r="R168" s="86"/>
      <c r="S168" s="86"/>
      <c r="T168" s="86"/>
      <c r="U168" s="86"/>
      <c r="V168" s="86"/>
      <c r="W168" s="86"/>
      <c r="X168" s="86"/>
      <c r="Y168" s="86"/>
      <c r="Z168" s="86"/>
      <c r="AA168" s="86"/>
      <c r="AB168" s="86"/>
      <c r="AC168" s="86"/>
      <c r="AD168" s="86"/>
      <c r="AE168" s="86"/>
      <c r="AF168" s="86"/>
      <c r="AG168" s="86"/>
      <c r="AH168" s="92"/>
      <c r="AI168" s="92"/>
      <c r="AJ168" s="92"/>
      <c r="AK168" s="86"/>
      <c r="AL168" s="86"/>
      <c r="AM168" s="86"/>
      <c r="AN168" s="86"/>
      <c r="AO168" s="86"/>
      <c r="AP168" s="86"/>
      <c r="AQ168" s="121"/>
    </row>
    <row r="169" spans="1:43" ht="45">
      <c r="A169" s="86" t="s">
        <v>901</v>
      </c>
      <c r="B169" s="86" t="s">
        <v>487</v>
      </c>
      <c r="C169" s="86"/>
      <c r="D169" s="86" t="s">
        <v>681</v>
      </c>
      <c r="E169" s="86" t="s">
        <v>686</v>
      </c>
      <c r="F169" s="86"/>
      <c r="G169" s="92"/>
      <c r="H169" s="92">
        <v>220</v>
      </c>
      <c r="I169" s="92">
        <v>400</v>
      </c>
      <c r="J169" s="92"/>
      <c r="K169" s="86"/>
      <c r="L169" s="104"/>
      <c r="M169" s="99"/>
      <c r="N169" s="86"/>
      <c r="O169" s="86"/>
      <c r="P169" s="86"/>
      <c r="Q169" s="86"/>
      <c r="R169" s="86"/>
      <c r="S169" s="86"/>
      <c r="T169" s="86"/>
      <c r="U169" s="86"/>
      <c r="V169" s="86"/>
      <c r="W169" s="86"/>
      <c r="X169" s="86"/>
      <c r="Y169" s="86"/>
      <c r="Z169" s="86"/>
      <c r="AA169" s="86"/>
      <c r="AB169" s="86"/>
      <c r="AC169" s="86"/>
      <c r="AD169" s="86"/>
      <c r="AE169" s="86"/>
      <c r="AF169" s="86"/>
      <c r="AG169" s="86"/>
      <c r="AH169" s="92"/>
      <c r="AI169" s="92"/>
      <c r="AJ169" s="92"/>
      <c r="AK169" s="86"/>
      <c r="AL169" s="86"/>
      <c r="AM169" s="86"/>
      <c r="AN169" s="86"/>
      <c r="AO169" s="86"/>
      <c r="AP169" s="86"/>
      <c r="AQ169" s="121"/>
    </row>
    <row r="170" spans="1:43" ht="45">
      <c r="A170" s="85" t="s">
        <v>901</v>
      </c>
      <c r="B170" s="85" t="s">
        <v>906</v>
      </c>
      <c r="C170" s="85"/>
      <c r="D170" s="85" t="s">
        <v>681</v>
      </c>
      <c r="E170" s="85" t="s">
        <v>686</v>
      </c>
      <c r="F170" s="85" t="s">
        <v>681</v>
      </c>
      <c r="G170" s="85"/>
      <c r="H170" s="94">
        <v>220</v>
      </c>
      <c r="I170" s="94">
        <v>400</v>
      </c>
      <c r="J170" s="85"/>
      <c r="K170" s="85"/>
      <c r="L170" s="105"/>
      <c r="M170" s="100"/>
      <c r="N170" s="85"/>
      <c r="O170" s="85"/>
      <c r="P170" s="85"/>
      <c r="Q170" s="85"/>
      <c r="R170" s="85"/>
      <c r="S170" s="85"/>
      <c r="T170" s="85"/>
      <c r="U170" s="85"/>
      <c r="V170" s="85"/>
      <c r="W170" s="85"/>
      <c r="X170" s="85"/>
      <c r="Y170" s="85"/>
      <c r="Z170" s="85"/>
      <c r="AA170" s="85"/>
      <c r="AB170" s="85"/>
      <c r="AC170" s="85"/>
      <c r="AD170" s="85"/>
      <c r="AE170" s="85"/>
      <c r="AF170" s="85"/>
      <c r="AG170" s="85"/>
      <c r="AH170" s="94"/>
      <c r="AI170" s="85"/>
      <c r="AJ170" s="85"/>
      <c r="AK170" s="85"/>
      <c r="AL170" s="85"/>
      <c r="AM170" s="85"/>
      <c r="AN170" s="85"/>
      <c r="AO170" s="85"/>
      <c r="AP170" s="85"/>
      <c r="AQ170" s="122"/>
    </row>
    <row r="171" spans="1:43" ht="45">
      <c r="A171" s="84" t="s">
        <v>901</v>
      </c>
      <c r="B171" s="84" t="s">
        <v>927</v>
      </c>
      <c r="C171" s="84"/>
      <c r="D171" s="84" t="s">
        <v>681</v>
      </c>
      <c r="E171" s="84" t="s">
        <v>928</v>
      </c>
      <c r="F171" s="84" t="s">
        <v>681</v>
      </c>
      <c r="G171" s="84" t="s">
        <v>710</v>
      </c>
      <c r="H171" s="84">
        <v>220</v>
      </c>
      <c r="I171" s="84">
        <v>200</v>
      </c>
      <c r="J171" s="84"/>
      <c r="K171" s="84"/>
      <c r="L171" s="107"/>
      <c r="M171" s="98"/>
      <c r="N171" s="84"/>
      <c r="O171" s="84"/>
      <c r="P171" s="84"/>
      <c r="Q171" s="84"/>
      <c r="R171" s="84"/>
      <c r="S171" s="84"/>
      <c r="T171" s="84"/>
      <c r="U171" s="84"/>
      <c r="V171" s="84"/>
      <c r="W171" s="84"/>
      <c r="X171" s="84"/>
      <c r="Y171" s="84"/>
      <c r="Z171" s="84"/>
      <c r="AA171" s="84" t="s">
        <v>903</v>
      </c>
      <c r="AB171" s="84" t="s">
        <v>582</v>
      </c>
      <c r="AC171" s="84" t="s">
        <v>933</v>
      </c>
      <c r="AD171" s="84" t="s">
        <v>686</v>
      </c>
      <c r="AE171" s="84"/>
      <c r="AF171" s="84" t="s">
        <v>681</v>
      </c>
      <c r="AG171" s="84" t="b">
        <v>1</v>
      </c>
      <c r="AH171" s="84">
        <v>220</v>
      </c>
      <c r="AI171" s="90">
        <v>400</v>
      </c>
      <c r="AJ171" s="90" t="b">
        <v>1</v>
      </c>
      <c r="AK171" s="84" t="s">
        <v>722</v>
      </c>
      <c r="AL171" s="84"/>
      <c r="AM171" s="84"/>
      <c r="AN171" s="84"/>
      <c r="AO171" s="84"/>
      <c r="AP171" s="84"/>
      <c r="AQ171" s="120" t="s">
        <v>934</v>
      </c>
    </row>
    <row r="172" spans="1:43" ht="45">
      <c r="A172" s="86" t="s">
        <v>901</v>
      </c>
      <c r="B172" s="86" t="s">
        <v>865</v>
      </c>
      <c r="C172" s="86"/>
      <c r="D172" s="86" t="s">
        <v>681</v>
      </c>
      <c r="E172" s="86" t="s">
        <v>682</v>
      </c>
      <c r="F172" s="86"/>
      <c r="G172" s="86"/>
      <c r="H172" s="92">
        <v>220</v>
      </c>
      <c r="I172" s="92">
        <v>280</v>
      </c>
      <c r="J172" s="86"/>
      <c r="K172" s="86"/>
      <c r="L172" s="104"/>
      <c r="M172" s="99"/>
      <c r="N172" s="86"/>
      <c r="O172" s="86"/>
      <c r="P172" s="86"/>
      <c r="Q172" s="86"/>
      <c r="R172" s="86"/>
      <c r="S172" s="86"/>
      <c r="T172" s="86"/>
      <c r="U172" s="86"/>
      <c r="V172" s="86"/>
      <c r="W172" s="86"/>
      <c r="X172" s="86"/>
      <c r="Y172" s="86"/>
      <c r="Z172" s="86"/>
      <c r="AA172" s="86"/>
      <c r="AB172" s="86"/>
      <c r="AC172" s="86"/>
      <c r="AD172" s="86"/>
      <c r="AE172" s="86"/>
      <c r="AF172" s="86"/>
      <c r="AG172" s="86"/>
      <c r="AH172" s="92"/>
      <c r="AI172" s="86"/>
      <c r="AJ172" s="86"/>
      <c r="AK172" s="86"/>
      <c r="AL172" s="86"/>
      <c r="AM172" s="86"/>
      <c r="AN172" s="86"/>
      <c r="AO172" s="86"/>
      <c r="AP172" s="86"/>
      <c r="AQ172" s="121"/>
    </row>
    <row r="173" spans="1:43" ht="45">
      <c r="A173" s="86" t="s">
        <v>901</v>
      </c>
      <c r="B173" s="86" t="s">
        <v>886</v>
      </c>
      <c r="C173" s="86"/>
      <c r="D173" s="86" t="s">
        <v>681</v>
      </c>
      <c r="E173" s="86" t="s">
        <v>682</v>
      </c>
      <c r="F173" s="86"/>
      <c r="G173" s="86"/>
      <c r="H173" s="92">
        <v>220</v>
      </c>
      <c r="I173" s="92">
        <v>280</v>
      </c>
      <c r="J173" s="86"/>
      <c r="K173" s="86"/>
      <c r="L173" s="104"/>
      <c r="M173" s="99"/>
      <c r="N173" s="86"/>
      <c r="O173" s="86"/>
      <c r="P173" s="86"/>
      <c r="Q173" s="86"/>
      <c r="R173" s="86"/>
      <c r="S173" s="86"/>
      <c r="T173" s="86"/>
      <c r="U173" s="86"/>
      <c r="V173" s="86"/>
      <c r="W173" s="86"/>
      <c r="X173" s="86"/>
      <c r="Y173" s="86"/>
      <c r="Z173" s="86"/>
      <c r="AA173" s="86"/>
      <c r="AB173" s="86"/>
      <c r="AC173" s="86"/>
      <c r="AD173" s="86"/>
      <c r="AE173" s="86"/>
      <c r="AF173" s="86"/>
      <c r="AG173" s="86"/>
      <c r="AH173" s="92"/>
      <c r="AI173" s="86"/>
      <c r="AJ173" s="86"/>
      <c r="AK173" s="86"/>
      <c r="AL173" s="86"/>
      <c r="AM173" s="86"/>
      <c r="AN173" s="86"/>
      <c r="AO173" s="86"/>
      <c r="AP173" s="86"/>
      <c r="AQ173" s="121"/>
    </row>
    <row r="174" spans="1:43" ht="45">
      <c r="A174" s="86" t="s">
        <v>901</v>
      </c>
      <c r="B174" s="86" t="s">
        <v>260</v>
      </c>
      <c r="C174" s="86"/>
      <c r="D174" s="86" t="s">
        <v>681</v>
      </c>
      <c r="E174" s="86" t="s">
        <v>686</v>
      </c>
      <c r="F174" s="86"/>
      <c r="G174" s="92"/>
      <c r="H174" s="92">
        <v>220</v>
      </c>
      <c r="I174" s="92">
        <v>400</v>
      </c>
      <c r="J174" s="92"/>
      <c r="K174" s="86"/>
      <c r="L174" s="104"/>
      <c r="M174" s="99"/>
      <c r="N174" s="86"/>
      <c r="O174" s="86"/>
      <c r="P174" s="86"/>
      <c r="Q174" s="86"/>
      <c r="R174" s="86"/>
      <c r="S174" s="86"/>
      <c r="T174" s="86"/>
      <c r="U174" s="86"/>
      <c r="V174" s="86"/>
      <c r="W174" s="86"/>
      <c r="X174" s="86"/>
      <c r="Y174" s="86"/>
      <c r="Z174" s="86"/>
      <c r="AA174" s="86"/>
      <c r="AB174" s="86"/>
      <c r="AC174" s="86"/>
      <c r="AD174" s="86"/>
      <c r="AE174" s="86"/>
      <c r="AF174" s="86"/>
      <c r="AG174" s="86"/>
      <c r="AH174" s="92"/>
      <c r="AI174" s="92"/>
      <c r="AJ174" s="92"/>
      <c r="AK174" s="86"/>
      <c r="AL174" s="86"/>
      <c r="AM174" s="86"/>
      <c r="AN174" s="86"/>
      <c r="AO174" s="86"/>
      <c r="AP174" s="86"/>
      <c r="AQ174" s="121"/>
    </row>
    <row r="175" spans="1:43" ht="45">
      <c r="A175" s="86" t="s">
        <v>901</v>
      </c>
      <c r="B175" s="86" t="s">
        <v>487</v>
      </c>
      <c r="C175" s="86"/>
      <c r="D175" s="86" t="s">
        <v>681</v>
      </c>
      <c r="E175" s="86" t="s">
        <v>686</v>
      </c>
      <c r="F175" s="86"/>
      <c r="G175" s="92"/>
      <c r="H175" s="92">
        <v>220</v>
      </c>
      <c r="I175" s="92">
        <v>400</v>
      </c>
      <c r="J175" s="92"/>
      <c r="K175" s="86"/>
      <c r="L175" s="104"/>
      <c r="M175" s="99"/>
      <c r="N175" s="86"/>
      <c r="O175" s="86"/>
      <c r="P175" s="86"/>
      <c r="Q175" s="86"/>
      <c r="R175" s="86"/>
      <c r="S175" s="86"/>
      <c r="T175" s="86"/>
      <c r="U175" s="86"/>
      <c r="V175" s="86"/>
      <c r="W175" s="86"/>
      <c r="X175" s="86"/>
      <c r="Y175" s="86"/>
      <c r="Z175" s="86"/>
      <c r="AA175" s="86"/>
      <c r="AB175" s="86"/>
      <c r="AC175" s="86"/>
      <c r="AD175" s="86"/>
      <c r="AE175" s="86"/>
      <c r="AF175" s="86"/>
      <c r="AG175" s="86"/>
      <c r="AH175" s="92"/>
      <c r="AI175" s="92"/>
      <c r="AJ175" s="92"/>
      <c r="AK175" s="86"/>
      <c r="AL175" s="86"/>
      <c r="AM175" s="86"/>
      <c r="AN175" s="86"/>
      <c r="AO175" s="86"/>
      <c r="AP175" s="86"/>
      <c r="AQ175" s="121"/>
    </row>
    <row r="176" spans="1:43" ht="45">
      <c r="A176" s="85" t="s">
        <v>901</v>
      </c>
      <c r="B176" s="85" t="s">
        <v>906</v>
      </c>
      <c r="C176" s="85"/>
      <c r="D176" s="85" t="s">
        <v>681</v>
      </c>
      <c r="E176" s="85" t="s">
        <v>686</v>
      </c>
      <c r="F176" s="85" t="s">
        <v>681</v>
      </c>
      <c r="G176" s="85"/>
      <c r="H176" s="94">
        <v>220</v>
      </c>
      <c r="I176" s="94">
        <v>400</v>
      </c>
      <c r="J176" s="85"/>
      <c r="K176" s="85"/>
      <c r="L176" s="105"/>
      <c r="M176" s="100"/>
      <c r="N176" s="85"/>
      <c r="O176" s="85"/>
      <c r="P176" s="85"/>
      <c r="Q176" s="85"/>
      <c r="R176" s="85"/>
      <c r="S176" s="85"/>
      <c r="T176" s="85"/>
      <c r="U176" s="85"/>
      <c r="V176" s="85"/>
      <c r="W176" s="85"/>
      <c r="X176" s="85"/>
      <c r="Y176" s="85"/>
      <c r="Z176" s="85"/>
      <c r="AA176" s="85"/>
      <c r="AB176" s="85"/>
      <c r="AC176" s="85"/>
      <c r="AD176" s="85"/>
      <c r="AE176" s="85"/>
      <c r="AF176" s="85"/>
      <c r="AG176" s="85"/>
      <c r="AH176" s="94"/>
      <c r="AI176" s="85"/>
      <c r="AJ176" s="85"/>
      <c r="AK176" s="85"/>
      <c r="AL176" s="85"/>
      <c r="AM176" s="85"/>
      <c r="AN176" s="85"/>
      <c r="AO176" s="85"/>
      <c r="AP176" s="85"/>
      <c r="AQ176" s="122"/>
    </row>
    <row r="177" spans="1:43" ht="45">
      <c r="A177" s="84" t="s">
        <v>901</v>
      </c>
      <c r="B177" s="84" t="s">
        <v>935</v>
      </c>
      <c r="C177" s="84"/>
      <c r="D177" s="84" t="s">
        <v>681</v>
      </c>
      <c r="E177" s="84" t="s">
        <v>686</v>
      </c>
      <c r="F177" s="84" t="s">
        <v>681</v>
      </c>
      <c r="G177" s="84" t="s">
        <v>699</v>
      </c>
      <c r="H177" s="90">
        <v>220</v>
      </c>
      <c r="I177" s="90">
        <v>400</v>
      </c>
      <c r="J177" s="84"/>
      <c r="K177" s="91" t="s">
        <v>105</v>
      </c>
      <c r="L177" s="107"/>
      <c r="M177" s="98"/>
      <c r="N177" s="84"/>
      <c r="O177" s="84"/>
      <c r="P177" s="84"/>
      <c r="Q177" s="84"/>
      <c r="R177" s="84"/>
      <c r="S177" s="84"/>
      <c r="T177" s="84"/>
      <c r="U177" s="84"/>
      <c r="V177" s="84"/>
      <c r="W177" s="84"/>
      <c r="X177" s="84"/>
      <c r="Y177" s="84"/>
      <c r="Z177" s="84"/>
      <c r="AA177" s="84" t="s">
        <v>903</v>
      </c>
      <c r="AB177" s="84" t="s">
        <v>582</v>
      </c>
      <c r="AC177" s="84" t="s">
        <v>936</v>
      </c>
      <c r="AD177" s="84" t="s">
        <v>686</v>
      </c>
      <c r="AE177" s="84"/>
      <c r="AF177" s="84" t="s">
        <v>681</v>
      </c>
      <c r="AG177" s="84" t="b">
        <v>0</v>
      </c>
      <c r="AH177" s="90">
        <v>220</v>
      </c>
      <c r="AI177" s="90">
        <v>400</v>
      </c>
      <c r="AJ177" s="90" t="b">
        <v>1</v>
      </c>
      <c r="AK177" s="84"/>
      <c r="AL177" s="84" t="s">
        <v>689</v>
      </c>
      <c r="AM177" s="84">
        <v>1</v>
      </c>
      <c r="AN177" s="84">
        <v>3</v>
      </c>
      <c r="AO177" s="84"/>
      <c r="AP177" s="84"/>
      <c r="AQ177" s="120" t="s">
        <v>937</v>
      </c>
    </row>
    <row r="178" spans="1:43" ht="45">
      <c r="A178" s="86" t="s">
        <v>901</v>
      </c>
      <c r="B178" s="86" t="s">
        <v>865</v>
      </c>
      <c r="C178" s="86"/>
      <c r="D178" s="86" t="s">
        <v>681</v>
      </c>
      <c r="E178" s="86" t="s">
        <v>682</v>
      </c>
      <c r="F178" s="86"/>
      <c r="G178" s="86"/>
      <c r="H178" s="92">
        <v>220</v>
      </c>
      <c r="I178" s="92">
        <v>280</v>
      </c>
      <c r="J178" s="86"/>
      <c r="K178" s="86"/>
      <c r="L178" s="104"/>
      <c r="M178" s="99"/>
      <c r="N178" s="86"/>
      <c r="O178" s="86"/>
      <c r="P178" s="86"/>
      <c r="Q178" s="86"/>
      <c r="R178" s="86"/>
      <c r="S178" s="86"/>
      <c r="T178" s="86"/>
      <c r="U178" s="86"/>
      <c r="V178" s="86"/>
      <c r="W178" s="86"/>
      <c r="X178" s="86"/>
      <c r="Y178" s="86"/>
      <c r="Z178" s="86"/>
      <c r="AA178" s="86"/>
      <c r="AB178" s="86"/>
      <c r="AC178" s="86"/>
      <c r="AD178" s="86"/>
      <c r="AE178" s="86"/>
      <c r="AF178" s="86"/>
      <c r="AG178" s="86"/>
      <c r="AH178" s="92"/>
      <c r="AI178" s="86"/>
      <c r="AJ178" s="86"/>
      <c r="AK178" s="86"/>
      <c r="AL178" s="86"/>
      <c r="AM178" s="86"/>
      <c r="AN178" s="86"/>
      <c r="AO178" s="86"/>
      <c r="AP178" s="86"/>
      <c r="AQ178" s="121"/>
    </row>
    <row r="179" spans="1:43" ht="45">
      <c r="A179" s="86" t="s">
        <v>901</v>
      </c>
      <c r="B179" s="86" t="s">
        <v>886</v>
      </c>
      <c r="C179" s="86"/>
      <c r="D179" s="86" t="s">
        <v>681</v>
      </c>
      <c r="E179" s="86" t="s">
        <v>682</v>
      </c>
      <c r="F179" s="86"/>
      <c r="G179" s="86"/>
      <c r="H179" s="92">
        <v>220</v>
      </c>
      <c r="I179" s="92">
        <v>280</v>
      </c>
      <c r="J179" s="86"/>
      <c r="K179" s="86"/>
      <c r="L179" s="104"/>
      <c r="M179" s="99"/>
      <c r="N179" s="86"/>
      <c r="O179" s="86"/>
      <c r="P179" s="86"/>
      <c r="Q179" s="86"/>
      <c r="R179" s="86"/>
      <c r="S179" s="86"/>
      <c r="T179" s="86"/>
      <c r="U179" s="86"/>
      <c r="V179" s="86"/>
      <c r="W179" s="86"/>
      <c r="X179" s="86"/>
      <c r="Y179" s="86"/>
      <c r="Z179" s="86"/>
      <c r="AA179" s="86"/>
      <c r="AB179" s="86"/>
      <c r="AC179" s="86"/>
      <c r="AD179" s="86"/>
      <c r="AE179" s="86"/>
      <c r="AF179" s="86"/>
      <c r="AG179" s="86"/>
      <c r="AH179" s="92"/>
      <c r="AI179" s="86"/>
      <c r="AJ179" s="86"/>
      <c r="AK179" s="86"/>
      <c r="AL179" s="86"/>
      <c r="AM179" s="86"/>
      <c r="AN179" s="86"/>
      <c r="AO179" s="86"/>
      <c r="AP179" s="86"/>
      <c r="AQ179" s="121"/>
    </row>
    <row r="180" spans="1:43" ht="45">
      <c r="A180" s="86" t="s">
        <v>901</v>
      </c>
      <c r="B180" s="86" t="s">
        <v>260</v>
      </c>
      <c r="C180" s="86"/>
      <c r="D180" s="86" t="s">
        <v>681</v>
      </c>
      <c r="E180" s="86" t="s">
        <v>686</v>
      </c>
      <c r="F180" s="86"/>
      <c r="G180" s="92"/>
      <c r="H180" s="92">
        <v>220</v>
      </c>
      <c r="I180" s="92">
        <v>400</v>
      </c>
      <c r="J180" s="92"/>
      <c r="K180" s="86"/>
      <c r="L180" s="104"/>
      <c r="M180" s="99"/>
      <c r="N180" s="86"/>
      <c r="O180" s="86"/>
      <c r="P180" s="86"/>
      <c r="Q180" s="86"/>
      <c r="R180" s="86"/>
      <c r="S180" s="86"/>
      <c r="T180" s="86"/>
      <c r="U180" s="86"/>
      <c r="V180" s="86"/>
      <c r="W180" s="86"/>
      <c r="X180" s="86"/>
      <c r="Y180" s="86"/>
      <c r="Z180" s="86"/>
      <c r="AA180" s="86"/>
      <c r="AB180" s="86"/>
      <c r="AC180" s="86"/>
      <c r="AD180" s="86"/>
      <c r="AE180" s="86"/>
      <c r="AF180" s="86"/>
      <c r="AG180" s="86"/>
      <c r="AH180" s="92"/>
      <c r="AI180" s="92"/>
      <c r="AJ180" s="92"/>
      <c r="AK180" s="86"/>
      <c r="AL180" s="86"/>
      <c r="AM180" s="86"/>
      <c r="AN180" s="86"/>
      <c r="AO180" s="86"/>
      <c r="AP180" s="86"/>
      <c r="AQ180" s="121"/>
    </row>
    <row r="181" spans="1:43" ht="45">
      <c r="A181" s="86" t="s">
        <v>901</v>
      </c>
      <c r="B181" s="86" t="s">
        <v>487</v>
      </c>
      <c r="C181" s="86"/>
      <c r="D181" s="86" t="s">
        <v>681</v>
      </c>
      <c r="E181" s="86" t="s">
        <v>686</v>
      </c>
      <c r="F181" s="86"/>
      <c r="G181" s="92"/>
      <c r="H181" s="92">
        <v>220</v>
      </c>
      <c r="I181" s="92">
        <v>400</v>
      </c>
      <c r="J181" s="92"/>
      <c r="K181" s="86"/>
      <c r="L181" s="104"/>
      <c r="M181" s="99"/>
      <c r="N181" s="86"/>
      <c r="O181" s="86"/>
      <c r="P181" s="86"/>
      <c r="Q181" s="86"/>
      <c r="R181" s="86"/>
      <c r="S181" s="86"/>
      <c r="T181" s="86"/>
      <c r="U181" s="86"/>
      <c r="V181" s="86"/>
      <c r="W181" s="86"/>
      <c r="X181" s="86"/>
      <c r="Y181" s="86"/>
      <c r="Z181" s="86"/>
      <c r="AA181" s="86"/>
      <c r="AB181" s="86"/>
      <c r="AC181" s="86"/>
      <c r="AD181" s="86"/>
      <c r="AE181" s="86"/>
      <c r="AF181" s="86"/>
      <c r="AG181" s="86"/>
      <c r="AH181" s="92"/>
      <c r="AI181" s="92"/>
      <c r="AJ181" s="92"/>
      <c r="AK181" s="86"/>
      <c r="AL181" s="86"/>
      <c r="AM181" s="86"/>
      <c r="AN181" s="86"/>
      <c r="AO181" s="86"/>
      <c r="AP181" s="86"/>
      <c r="AQ181" s="121"/>
    </row>
    <row r="182" spans="1:43" ht="45">
      <c r="A182" s="85" t="s">
        <v>901</v>
      </c>
      <c r="B182" s="85" t="s">
        <v>906</v>
      </c>
      <c r="C182" s="85"/>
      <c r="D182" s="85" t="s">
        <v>681</v>
      </c>
      <c r="E182" s="85" t="s">
        <v>686</v>
      </c>
      <c r="F182" s="85" t="s">
        <v>681</v>
      </c>
      <c r="G182" s="85"/>
      <c r="H182" s="94">
        <v>220</v>
      </c>
      <c r="I182" s="94">
        <v>400</v>
      </c>
      <c r="J182" s="85"/>
      <c r="K182" s="85"/>
      <c r="L182" s="105"/>
      <c r="M182" s="100"/>
      <c r="N182" s="85"/>
      <c r="O182" s="85"/>
      <c r="P182" s="85"/>
      <c r="Q182" s="85"/>
      <c r="R182" s="85"/>
      <c r="S182" s="85"/>
      <c r="T182" s="85"/>
      <c r="U182" s="85"/>
      <c r="V182" s="85"/>
      <c r="W182" s="85"/>
      <c r="X182" s="85"/>
      <c r="Y182" s="85"/>
      <c r="Z182" s="85"/>
      <c r="AA182" s="85"/>
      <c r="AB182" s="85"/>
      <c r="AC182" s="85"/>
      <c r="AD182" s="85"/>
      <c r="AE182" s="85"/>
      <c r="AF182" s="85"/>
      <c r="AG182" s="85"/>
      <c r="AH182" s="94"/>
      <c r="AI182" s="85"/>
      <c r="AJ182" s="85"/>
      <c r="AK182" s="85"/>
      <c r="AL182" s="85"/>
      <c r="AM182" s="85"/>
      <c r="AN182" s="85"/>
      <c r="AO182" s="85"/>
      <c r="AP182" s="85"/>
      <c r="AQ182" s="122"/>
    </row>
    <row r="183" spans="1:43" ht="45">
      <c r="A183" s="84" t="s">
        <v>901</v>
      </c>
      <c r="B183" s="84" t="s">
        <v>935</v>
      </c>
      <c r="C183" s="84"/>
      <c r="D183" s="84" t="s">
        <v>681</v>
      </c>
      <c r="E183" s="84" t="s">
        <v>686</v>
      </c>
      <c r="F183" s="84" t="s">
        <v>681</v>
      </c>
      <c r="G183" s="84" t="s">
        <v>699</v>
      </c>
      <c r="H183" s="90">
        <v>220</v>
      </c>
      <c r="I183" s="90">
        <v>400</v>
      </c>
      <c r="J183" s="84"/>
      <c r="K183" s="91" t="s">
        <v>105</v>
      </c>
      <c r="L183" s="107"/>
      <c r="M183" s="98"/>
      <c r="N183" s="84"/>
      <c r="O183" s="84"/>
      <c r="P183" s="84"/>
      <c r="Q183" s="84"/>
      <c r="R183" s="84"/>
      <c r="S183" s="84"/>
      <c r="T183" s="84"/>
      <c r="U183" s="84"/>
      <c r="V183" s="84"/>
      <c r="W183" s="84"/>
      <c r="X183" s="84"/>
      <c r="Y183" s="84"/>
      <c r="Z183" s="84"/>
      <c r="AA183" s="84" t="s">
        <v>903</v>
      </c>
      <c r="AB183" s="84" t="s">
        <v>582</v>
      </c>
      <c r="AC183" s="84" t="s">
        <v>938</v>
      </c>
      <c r="AD183" s="84" t="s">
        <v>686</v>
      </c>
      <c r="AE183" s="84"/>
      <c r="AF183" s="84" t="s">
        <v>681</v>
      </c>
      <c r="AG183" s="84" t="b">
        <v>0</v>
      </c>
      <c r="AH183" s="90">
        <v>220</v>
      </c>
      <c r="AI183" s="90">
        <v>400</v>
      </c>
      <c r="AJ183" s="90" t="b">
        <v>1</v>
      </c>
      <c r="AK183" s="84"/>
      <c r="AL183" s="84" t="s">
        <v>689</v>
      </c>
      <c r="AM183" s="84">
        <v>4</v>
      </c>
      <c r="AN183" s="84">
        <v>5</v>
      </c>
      <c r="AO183" s="84"/>
      <c r="AP183" s="84"/>
      <c r="AQ183" s="120" t="s">
        <v>939</v>
      </c>
    </row>
    <row r="184" spans="1:43" ht="45">
      <c r="A184" s="86" t="s">
        <v>901</v>
      </c>
      <c r="B184" s="86" t="s">
        <v>865</v>
      </c>
      <c r="C184" s="86"/>
      <c r="D184" s="86" t="s">
        <v>681</v>
      </c>
      <c r="E184" s="86" t="s">
        <v>682</v>
      </c>
      <c r="F184" s="86"/>
      <c r="G184" s="86"/>
      <c r="H184" s="92">
        <v>220</v>
      </c>
      <c r="I184" s="92">
        <v>280</v>
      </c>
      <c r="J184" s="86"/>
      <c r="K184" s="86"/>
      <c r="L184" s="104"/>
      <c r="M184" s="99"/>
      <c r="N184" s="86"/>
      <c r="O184" s="86"/>
      <c r="P184" s="86"/>
      <c r="Q184" s="86"/>
      <c r="R184" s="86"/>
      <c r="S184" s="86"/>
      <c r="T184" s="86"/>
      <c r="U184" s="86"/>
      <c r="V184" s="86"/>
      <c r="W184" s="86"/>
      <c r="X184" s="86"/>
      <c r="Y184" s="86"/>
      <c r="Z184" s="86"/>
      <c r="AA184" s="86"/>
      <c r="AB184" s="86"/>
      <c r="AC184" s="86"/>
      <c r="AD184" s="86"/>
      <c r="AE184" s="86"/>
      <c r="AF184" s="86"/>
      <c r="AG184" s="86"/>
      <c r="AH184" s="92"/>
      <c r="AI184" s="86"/>
      <c r="AJ184" s="86"/>
      <c r="AK184" s="86"/>
      <c r="AL184" s="86"/>
      <c r="AM184" s="86"/>
      <c r="AN184" s="86"/>
      <c r="AO184" s="86"/>
      <c r="AP184" s="86"/>
      <c r="AQ184" s="121"/>
    </row>
    <row r="185" spans="1:43" ht="45">
      <c r="A185" s="86" t="s">
        <v>901</v>
      </c>
      <c r="B185" s="86" t="s">
        <v>886</v>
      </c>
      <c r="C185" s="86"/>
      <c r="D185" s="86" t="s">
        <v>681</v>
      </c>
      <c r="E185" s="86" t="s">
        <v>682</v>
      </c>
      <c r="F185" s="86"/>
      <c r="G185" s="86"/>
      <c r="H185" s="92">
        <v>220</v>
      </c>
      <c r="I185" s="92">
        <v>280</v>
      </c>
      <c r="J185" s="86"/>
      <c r="K185" s="86"/>
      <c r="L185" s="104"/>
      <c r="M185" s="99"/>
      <c r="N185" s="86"/>
      <c r="O185" s="86"/>
      <c r="P185" s="86"/>
      <c r="Q185" s="86"/>
      <c r="R185" s="86"/>
      <c r="S185" s="86"/>
      <c r="T185" s="86"/>
      <c r="U185" s="86"/>
      <c r="V185" s="86"/>
      <c r="W185" s="86"/>
      <c r="X185" s="86"/>
      <c r="Y185" s="86"/>
      <c r="Z185" s="86"/>
      <c r="AA185" s="86"/>
      <c r="AB185" s="86"/>
      <c r="AC185" s="86"/>
      <c r="AD185" s="86"/>
      <c r="AE185" s="86"/>
      <c r="AF185" s="86"/>
      <c r="AG185" s="86"/>
      <c r="AH185" s="92"/>
      <c r="AI185" s="86"/>
      <c r="AJ185" s="86"/>
      <c r="AK185" s="86"/>
      <c r="AL185" s="86"/>
      <c r="AM185" s="86"/>
      <c r="AN185" s="86"/>
      <c r="AO185" s="86"/>
      <c r="AP185" s="86"/>
      <c r="AQ185" s="121"/>
    </row>
    <row r="186" spans="1:43" ht="45">
      <c r="A186" s="86" t="s">
        <v>901</v>
      </c>
      <c r="B186" s="86" t="s">
        <v>260</v>
      </c>
      <c r="C186" s="86"/>
      <c r="D186" s="86" t="s">
        <v>681</v>
      </c>
      <c r="E186" s="86" t="s">
        <v>686</v>
      </c>
      <c r="F186" s="86"/>
      <c r="G186" s="92"/>
      <c r="H186" s="92">
        <v>220</v>
      </c>
      <c r="I186" s="92">
        <v>400</v>
      </c>
      <c r="J186" s="92"/>
      <c r="K186" s="86"/>
      <c r="L186" s="104"/>
      <c r="M186" s="99"/>
      <c r="N186" s="86"/>
      <c r="O186" s="86"/>
      <c r="P186" s="86"/>
      <c r="Q186" s="86"/>
      <c r="R186" s="86"/>
      <c r="S186" s="86"/>
      <c r="T186" s="86"/>
      <c r="U186" s="86"/>
      <c r="V186" s="86"/>
      <c r="W186" s="86"/>
      <c r="X186" s="86"/>
      <c r="Y186" s="86"/>
      <c r="Z186" s="86"/>
      <c r="AA186" s="86"/>
      <c r="AB186" s="86"/>
      <c r="AC186" s="86"/>
      <c r="AD186" s="86"/>
      <c r="AE186" s="86"/>
      <c r="AF186" s="86"/>
      <c r="AG186" s="86"/>
      <c r="AH186" s="92"/>
      <c r="AI186" s="92"/>
      <c r="AJ186" s="92"/>
      <c r="AK186" s="86"/>
      <c r="AL186" s="86"/>
      <c r="AM186" s="86"/>
      <c r="AN186" s="86"/>
      <c r="AO186" s="86"/>
      <c r="AP186" s="86"/>
      <c r="AQ186" s="121"/>
    </row>
    <row r="187" spans="1:43" ht="45">
      <c r="A187" s="86" t="s">
        <v>901</v>
      </c>
      <c r="B187" s="86" t="s">
        <v>487</v>
      </c>
      <c r="C187" s="86"/>
      <c r="D187" s="86" t="s">
        <v>681</v>
      </c>
      <c r="E187" s="86" t="s">
        <v>686</v>
      </c>
      <c r="F187" s="86"/>
      <c r="G187" s="92"/>
      <c r="H187" s="92">
        <v>220</v>
      </c>
      <c r="I187" s="92">
        <v>400</v>
      </c>
      <c r="J187" s="92"/>
      <c r="K187" s="86"/>
      <c r="L187" s="104"/>
      <c r="M187" s="99"/>
      <c r="N187" s="86"/>
      <c r="O187" s="86"/>
      <c r="P187" s="86"/>
      <c r="Q187" s="86"/>
      <c r="R187" s="86"/>
      <c r="S187" s="86"/>
      <c r="T187" s="86"/>
      <c r="U187" s="86"/>
      <c r="V187" s="86"/>
      <c r="W187" s="86"/>
      <c r="X187" s="86"/>
      <c r="Y187" s="86"/>
      <c r="Z187" s="86"/>
      <c r="AA187" s="86"/>
      <c r="AB187" s="86"/>
      <c r="AC187" s="86"/>
      <c r="AD187" s="86"/>
      <c r="AE187" s="86"/>
      <c r="AF187" s="86"/>
      <c r="AG187" s="86"/>
      <c r="AH187" s="92"/>
      <c r="AI187" s="92"/>
      <c r="AJ187" s="92"/>
      <c r="AK187" s="86"/>
      <c r="AL187" s="86"/>
      <c r="AM187" s="86"/>
      <c r="AN187" s="86"/>
      <c r="AO187" s="86"/>
      <c r="AP187" s="86"/>
      <c r="AQ187" s="121"/>
    </row>
    <row r="188" spans="1:43" ht="45">
      <c r="A188" s="85" t="s">
        <v>901</v>
      </c>
      <c r="B188" s="85" t="s">
        <v>906</v>
      </c>
      <c r="C188" s="85"/>
      <c r="D188" s="85" t="s">
        <v>681</v>
      </c>
      <c r="E188" s="85" t="s">
        <v>686</v>
      </c>
      <c r="F188" s="85" t="s">
        <v>681</v>
      </c>
      <c r="G188" s="85"/>
      <c r="H188" s="94">
        <v>220</v>
      </c>
      <c r="I188" s="94">
        <v>400</v>
      </c>
      <c r="J188" s="85"/>
      <c r="K188" s="85"/>
      <c r="L188" s="105"/>
      <c r="M188" s="100"/>
      <c r="N188" s="85"/>
      <c r="O188" s="85"/>
      <c r="P188" s="85"/>
      <c r="Q188" s="85"/>
      <c r="R188" s="85"/>
      <c r="S188" s="85"/>
      <c r="T188" s="85"/>
      <c r="U188" s="85"/>
      <c r="V188" s="85"/>
      <c r="W188" s="85"/>
      <c r="X188" s="85"/>
      <c r="Y188" s="85"/>
      <c r="Z188" s="85"/>
      <c r="AA188" s="85"/>
      <c r="AB188" s="85"/>
      <c r="AC188" s="85"/>
      <c r="AD188" s="85"/>
      <c r="AE188" s="85"/>
      <c r="AF188" s="85"/>
      <c r="AG188" s="85"/>
      <c r="AH188" s="94"/>
      <c r="AI188" s="85"/>
      <c r="AJ188" s="85"/>
      <c r="AK188" s="85"/>
      <c r="AL188" s="85"/>
      <c r="AM188" s="85"/>
      <c r="AN188" s="85"/>
      <c r="AO188" s="85"/>
      <c r="AP188" s="85"/>
      <c r="AQ188" s="122"/>
    </row>
    <row r="189" spans="1:43" ht="45">
      <c r="A189" s="84" t="s">
        <v>901</v>
      </c>
      <c r="B189" s="84" t="s">
        <v>935</v>
      </c>
      <c r="C189" s="84"/>
      <c r="D189" s="84" t="s">
        <v>681</v>
      </c>
      <c r="E189" s="84" t="s">
        <v>686</v>
      </c>
      <c r="F189" s="84" t="s">
        <v>681</v>
      </c>
      <c r="G189" s="84" t="s">
        <v>699</v>
      </c>
      <c r="H189" s="90">
        <v>220</v>
      </c>
      <c r="I189" s="90">
        <v>400</v>
      </c>
      <c r="J189" s="84"/>
      <c r="K189" s="91" t="s">
        <v>105</v>
      </c>
      <c r="L189" s="107"/>
      <c r="M189" s="98"/>
      <c r="N189" s="84"/>
      <c r="O189" s="84"/>
      <c r="P189" s="84"/>
      <c r="Q189" s="84"/>
      <c r="R189" s="84"/>
      <c r="S189" s="84"/>
      <c r="T189" s="84"/>
      <c r="U189" s="84"/>
      <c r="V189" s="84"/>
      <c r="W189" s="84"/>
      <c r="X189" s="84"/>
      <c r="Y189" s="84"/>
      <c r="Z189" s="84"/>
      <c r="AA189" s="84" t="s">
        <v>903</v>
      </c>
      <c r="AB189" s="84" t="s">
        <v>582</v>
      </c>
      <c r="AC189" s="84" t="s">
        <v>940</v>
      </c>
      <c r="AD189" s="84" t="s">
        <v>686</v>
      </c>
      <c r="AE189" s="84"/>
      <c r="AF189" s="84" t="s">
        <v>681</v>
      </c>
      <c r="AG189" s="84" t="b">
        <v>0</v>
      </c>
      <c r="AH189" s="90">
        <v>220</v>
      </c>
      <c r="AI189" s="90">
        <v>400</v>
      </c>
      <c r="AJ189" s="90" t="b">
        <v>1</v>
      </c>
      <c r="AK189" s="84"/>
      <c r="AL189" s="84" t="s">
        <v>689</v>
      </c>
      <c r="AM189" s="84">
        <v>6</v>
      </c>
      <c r="AN189" s="84">
        <v>9</v>
      </c>
      <c r="AO189" s="84"/>
      <c r="AP189" s="84"/>
      <c r="AQ189" s="120" t="s">
        <v>941</v>
      </c>
    </row>
    <row r="190" spans="1:43" ht="45">
      <c r="A190" s="86" t="s">
        <v>901</v>
      </c>
      <c r="B190" s="86" t="s">
        <v>865</v>
      </c>
      <c r="C190" s="86"/>
      <c r="D190" s="86" t="s">
        <v>681</v>
      </c>
      <c r="E190" s="86" t="s">
        <v>682</v>
      </c>
      <c r="F190" s="86"/>
      <c r="G190" s="86"/>
      <c r="H190" s="92">
        <v>220</v>
      </c>
      <c r="I190" s="92">
        <v>280</v>
      </c>
      <c r="J190" s="86"/>
      <c r="K190" s="86"/>
      <c r="L190" s="104"/>
      <c r="M190" s="99"/>
      <c r="N190" s="86"/>
      <c r="O190" s="86"/>
      <c r="P190" s="86"/>
      <c r="Q190" s="86"/>
      <c r="R190" s="86"/>
      <c r="S190" s="86"/>
      <c r="T190" s="86"/>
      <c r="U190" s="86"/>
      <c r="V190" s="86"/>
      <c r="W190" s="86"/>
      <c r="X190" s="86"/>
      <c r="Y190" s="86"/>
      <c r="Z190" s="86"/>
      <c r="AA190" s="86"/>
      <c r="AB190" s="86"/>
      <c r="AC190" s="86"/>
      <c r="AD190" s="86"/>
      <c r="AE190" s="86"/>
      <c r="AF190" s="86"/>
      <c r="AG190" s="86"/>
      <c r="AH190" s="92"/>
      <c r="AI190" s="86"/>
      <c r="AJ190" s="86"/>
      <c r="AK190" s="86"/>
      <c r="AL190" s="86"/>
      <c r="AM190" s="86"/>
      <c r="AN190" s="86"/>
      <c r="AO190" s="86"/>
      <c r="AP190" s="86"/>
      <c r="AQ190" s="121"/>
    </row>
    <row r="191" spans="1:43" ht="45">
      <c r="A191" s="86" t="s">
        <v>901</v>
      </c>
      <c r="B191" s="86" t="s">
        <v>886</v>
      </c>
      <c r="C191" s="86"/>
      <c r="D191" s="86" t="s">
        <v>681</v>
      </c>
      <c r="E191" s="86" t="s">
        <v>682</v>
      </c>
      <c r="F191" s="86"/>
      <c r="G191" s="86"/>
      <c r="H191" s="92">
        <v>220</v>
      </c>
      <c r="I191" s="92">
        <v>280</v>
      </c>
      <c r="J191" s="86"/>
      <c r="K191" s="86"/>
      <c r="L191" s="104"/>
      <c r="M191" s="99"/>
      <c r="N191" s="86"/>
      <c r="O191" s="86"/>
      <c r="P191" s="86"/>
      <c r="Q191" s="86"/>
      <c r="R191" s="86"/>
      <c r="S191" s="86"/>
      <c r="T191" s="86"/>
      <c r="U191" s="86"/>
      <c r="V191" s="86"/>
      <c r="W191" s="86"/>
      <c r="X191" s="86"/>
      <c r="Y191" s="86"/>
      <c r="Z191" s="86"/>
      <c r="AA191" s="86"/>
      <c r="AB191" s="86"/>
      <c r="AC191" s="86"/>
      <c r="AD191" s="86"/>
      <c r="AE191" s="86"/>
      <c r="AF191" s="86"/>
      <c r="AG191" s="86"/>
      <c r="AH191" s="92"/>
      <c r="AI191" s="86"/>
      <c r="AJ191" s="86"/>
      <c r="AK191" s="86"/>
      <c r="AL191" s="86"/>
      <c r="AM191" s="86"/>
      <c r="AN191" s="86"/>
      <c r="AO191" s="86"/>
      <c r="AP191" s="86"/>
      <c r="AQ191" s="121"/>
    </row>
    <row r="192" spans="1:43" ht="45">
      <c r="A192" s="86" t="s">
        <v>901</v>
      </c>
      <c r="B192" s="86" t="s">
        <v>260</v>
      </c>
      <c r="C192" s="86"/>
      <c r="D192" s="86" t="s">
        <v>681</v>
      </c>
      <c r="E192" s="86" t="s">
        <v>686</v>
      </c>
      <c r="F192" s="86"/>
      <c r="G192" s="92"/>
      <c r="H192" s="92">
        <v>220</v>
      </c>
      <c r="I192" s="92">
        <v>400</v>
      </c>
      <c r="J192" s="92"/>
      <c r="K192" s="86"/>
      <c r="L192" s="104"/>
      <c r="M192" s="99"/>
      <c r="N192" s="86"/>
      <c r="O192" s="86"/>
      <c r="P192" s="86"/>
      <c r="Q192" s="86"/>
      <c r="R192" s="86"/>
      <c r="S192" s="86"/>
      <c r="T192" s="86"/>
      <c r="U192" s="86"/>
      <c r="V192" s="86"/>
      <c r="W192" s="86"/>
      <c r="X192" s="86"/>
      <c r="Y192" s="86"/>
      <c r="Z192" s="86"/>
      <c r="AA192" s="86"/>
      <c r="AB192" s="86"/>
      <c r="AC192" s="86"/>
      <c r="AD192" s="86"/>
      <c r="AE192" s="86"/>
      <c r="AF192" s="86"/>
      <c r="AG192" s="86"/>
      <c r="AH192" s="92"/>
      <c r="AI192" s="92"/>
      <c r="AJ192" s="92"/>
      <c r="AK192" s="86"/>
      <c r="AL192" s="86"/>
      <c r="AM192" s="86"/>
      <c r="AN192" s="86"/>
      <c r="AO192" s="86"/>
      <c r="AP192" s="86"/>
      <c r="AQ192" s="121"/>
    </row>
    <row r="193" spans="1:43" ht="45">
      <c r="A193" s="86" t="s">
        <v>901</v>
      </c>
      <c r="B193" s="86" t="s">
        <v>487</v>
      </c>
      <c r="C193" s="86"/>
      <c r="D193" s="86" t="s">
        <v>681</v>
      </c>
      <c r="E193" s="86" t="s">
        <v>686</v>
      </c>
      <c r="F193" s="86"/>
      <c r="G193" s="92"/>
      <c r="H193" s="92">
        <v>220</v>
      </c>
      <c r="I193" s="92">
        <v>400</v>
      </c>
      <c r="J193" s="92"/>
      <c r="K193" s="86"/>
      <c r="L193" s="104"/>
      <c r="M193" s="99"/>
      <c r="N193" s="86"/>
      <c r="O193" s="86"/>
      <c r="P193" s="86"/>
      <c r="Q193" s="86"/>
      <c r="R193" s="86"/>
      <c r="S193" s="86"/>
      <c r="T193" s="86"/>
      <c r="U193" s="86"/>
      <c r="V193" s="86"/>
      <c r="W193" s="86"/>
      <c r="X193" s="86"/>
      <c r="Y193" s="86"/>
      <c r="Z193" s="86"/>
      <c r="AA193" s="86"/>
      <c r="AB193" s="86"/>
      <c r="AC193" s="86"/>
      <c r="AD193" s="86"/>
      <c r="AE193" s="86"/>
      <c r="AF193" s="86"/>
      <c r="AG193" s="86"/>
      <c r="AH193" s="92"/>
      <c r="AI193" s="92"/>
      <c r="AJ193" s="92"/>
      <c r="AK193" s="86"/>
      <c r="AL193" s="86"/>
      <c r="AM193" s="86"/>
      <c r="AN193" s="86"/>
      <c r="AO193" s="86"/>
      <c r="AP193" s="86"/>
      <c r="AQ193" s="121"/>
    </row>
    <row r="194" spans="1:43" ht="45">
      <c r="A194" s="85" t="s">
        <v>901</v>
      </c>
      <c r="B194" s="85" t="s">
        <v>906</v>
      </c>
      <c r="C194" s="85"/>
      <c r="D194" s="85" t="s">
        <v>681</v>
      </c>
      <c r="E194" s="85" t="s">
        <v>686</v>
      </c>
      <c r="F194" s="85" t="s">
        <v>681</v>
      </c>
      <c r="G194" s="85"/>
      <c r="H194" s="94">
        <v>220</v>
      </c>
      <c r="I194" s="94">
        <v>400</v>
      </c>
      <c r="J194" s="85"/>
      <c r="K194" s="85"/>
      <c r="L194" s="105"/>
      <c r="M194" s="100"/>
      <c r="N194" s="85"/>
      <c r="O194" s="85"/>
      <c r="P194" s="85"/>
      <c r="Q194" s="85"/>
      <c r="R194" s="85"/>
      <c r="S194" s="85"/>
      <c r="T194" s="85"/>
      <c r="U194" s="85"/>
      <c r="V194" s="85"/>
      <c r="W194" s="85"/>
      <c r="X194" s="85"/>
      <c r="Y194" s="85"/>
      <c r="Z194" s="85"/>
      <c r="AA194" s="85"/>
      <c r="AB194" s="85"/>
      <c r="AC194" s="85"/>
      <c r="AD194" s="85"/>
      <c r="AE194" s="85"/>
      <c r="AF194" s="85"/>
      <c r="AG194" s="85"/>
      <c r="AH194" s="94"/>
      <c r="AI194" s="85"/>
      <c r="AJ194" s="85"/>
      <c r="AK194" s="85"/>
      <c r="AL194" s="85"/>
      <c r="AM194" s="85"/>
      <c r="AN194" s="85"/>
      <c r="AO194" s="85"/>
      <c r="AP194" s="85"/>
      <c r="AQ194" s="122"/>
    </row>
    <row r="195" spans="1:43">
      <c r="A195" s="64" t="s">
        <v>166</v>
      </c>
      <c r="B195" s="64" t="s">
        <v>166</v>
      </c>
      <c r="C195" s="64"/>
      <c r="D195" s="64" t="s">
        <v>166</v>
      </c>
      <c r="E195" s="64"/>
      <c r="F195" s="64"/>
      <c r="G195" s="64"/>
      <c r="H195" s="64"/>
      <c r="I195" s="64"/>
      <c r="J195" s="64"/>
      <c r="K195" s="64"/>
      <c r="L195" s="106"/>
      <c r="M195" s="97"/>
      <c r="N195" s="64"/>
      <c r="O195" s="64"/>
      <c r="P195" s="64"/>
      <c r="Q195" s="64"/>
      <c r="R195" s="64"/>
      <c r="S195" s="64"/>
      <c r="T195" s="64"/>
      <c r="U195" s="64"/>
      <c r="V195" s="64"/>
      <c r="W195" s="64"/>
      <c r="X195" s="64"/>
      <c r="Y195" s="64"/>
      <c r="Z195" s="64"/>
      <c r="AA195" s="64" t="s">
        <v>903</v>
      </c>
      <c r="AB195" s="64" t="s">
        <v>582</v>
      </c>
      <c r="AC195" s="64" t="s">
        <v>942</v>
      </c>
      <c r="AD195" s="64" t="s">
        <v>694</v>
      </c>
      <c r="AE195" s="64"/>
      <c r="AF195" s="64" t="s">
        <v>681</v>
      </c>
      <c r="AG195" s="64" t="b">
        <v>0</v>
      </c>
      <c r="AH195" s="64">
        <v>220</v>
      </c>
      <c r="AI195" s="64">
        <v>16</v>
      </c>
      <c r="AJ195" s="88" t="b">
        <v>1</v>
      </c>
      <c r="AK195" s="64"/>
      <c r="AL195" s="64"/>
      <c r="AM195" s="64"/>
      <c r="AN195" s="64"/>
      <c r="AO195" s="64"/>
      <c r="AP195" s="64"/>
      <c r="AQ195" s="119" t="s">
        <v>943</v>
      </c>
    </row>
    <row r="196" spans="1:43">
      <c r="A196" s="64" t="s">
        <v>166</v>
      </c>
      <c r="B196" s="64" t="s">
        <v>166</v>
      </c>
      <c r="C196" s="64"/>
      <c r="D196" s="64" t="s">
        <v>166</v>
      </c>
      <c r="E196" s="64"/>
      <c r="F196" s="64"/>
      <c r="G196" s="64"/>
      <c r="H196" s="64"/>
      <c r="I196" s="64"/>
      <c r="J196" s="64"/>
      <c r="K196" s="64"/>
      <c r="L196" s="106"/>
      <c r="M196" s="97"/>
      <c r="N196" s="64"/>
      <c r="O196" s="64"/>
      <c r="P196" s="64"/>
      <c r="Q196" s="64"/>
      <c r="R196" s="64"/>
      <c r="S196" s="64"/>
      <c r="T196" s="64"/>
      <c r="U196" s="64"/>
      <c r="V196" s="64"/>
      <c r="W196" s="64"/>
      <c r="X196" s="64"/>
      <c r="Y196" s="64"/>
      <c r="Z196" s="64"/>
      <c r="AA196" s="64" t="s">
        <v>903</v>
      </c>
      <c r="AB196" s="64" t="s">
        <v>582</v>
      </c>
      <c r="AC196" s="64" t="s">
        <v>944</v>
      </c>
      <c r="AD196" s="64" t="s">
        <v>682</v>
      </c>
      <c r="AE196" s="64"/>
      <c r="AF196" s="64" t="s">
        <v>681</v>
      </c>
      <c r="AG196" s="64" t="b">
        <v>1</v>
      </c>
      <c r="AH196" s="64">
        <v>220</v>
      </c>
      <c r="AI196" s="88">
        <v>400</v>
      </c>
      <c r="AJ196" s="88" t="b">
        <v>1</v>
      </c>
      <c r="AK196" s="64"/>
      <c r="AL196" s="64"/>
      <c r="AM196" s="64"/>
      <c r="AN196" s="64"/>
      <c r="AO196" s="64"/>
      <c r="AP196" s="64"/>
      <c r="AQ196" s="119"/>
    </row>
    <row r="197" spans="1:43">
      <c r="A197" s="64" t="s">
        <v>166</v>
      </c>
      <c r="B197" s="64" t="s">
        <v>166</v>
      </c>
      <c r="C197" s="64"/>
      <c r="D197" s="64" t="s">
        <v>166</v>
      </c>
      <c r="E197" s="64"/>
      <c r="F197" s="64"/>
      <c r="G197" s="64"/>
      <c r="H197" s="64"/>
      <c r="I197" s="64"/>
      <c r="J197" s="64"/>
      <c r="K197" s="64"/>
      <c r="L197" s="106"/>
      <c r="M197" s="97"/>
      <c r="N197" s="64"/>
      <c r="O197" s="64"/>
      <c r="P197" s="64"/>
      <c r="Q197" s="64"/>
      <c r="R197" s="64"/>
      <c r="S197" s="64"/>
      <c r="T197" s="64"/>
      <c r="U197" s="64"/>
      <c r="V197" s="64"/>
      <c r="W197" s="64"/>
      <c r="X197" s="64"/>
      <c r="Y197" s="64"/>
      <c r="Z197" s="64"/>
      <c r="AA197" s="64" t="s">
        <v>903</v>
      </c>
      <c r="AB197" s="64" t="s">
        <v>582</v>
      </c>
      <c r="AC197" s="64" t="s">
        <v>945</v>
      </c>
      <c r="AD197" s="64" t="s">
        <v>682</v>
      </c>
      <c r="AE197" s="64"/>
      <c r="AF197" s="64" t="s">
        <v>681</v>
      </c>
      <c r="AG197" s="64" t="b">
        <v>1</v>
      </c>
      <c r="AH197" s="64">
        <v>220</v>
      </c>
      <c r="AI197" s="88">
        <v>400</v>
      </c>
      <c r="AJ197" s="88" t="b">
        <v>1</v>
      </c>
      <c r="AK197" s="64"/>
      <c r="AL197" s="64"/>
      <c r="AM197" s="64"/>
      <c r="AN197" s="64"/>
      <c r="AO197" s="64"/>
      <c r="AP197" s="64"/>
      <c r="AQ197" s="119"/>
    </row>
    <row r="198" spans="1:43">
      <c r="A198" s="64" t="s">
        <v>166</v>
      </c>
      <c r="B198" s="64" t="s">
        <v>166</v>
      </c>
      <c r="C198" s="64"/>
      <c r="D198" s="64" t="s">
        <v>166</v>
      </c>
      <c r="E198" s="64"/>
      <c r="F198" s="64"/>
      <c r="G198" s="64"/>
      <c r="H198" s="64"/>
      <c r="I198" s="64"/>
      <c r="J198" s="64"/>
      <c r="K198" s="64"/>
      <c r="L198" s="106"/>
      <c r="M198" s="97"/>
      <c r="N198" s="64"/>
      <c r="O198" s="64"/>
      <c r="P198" s="64"/>
      <c r="Q198" s="64"/>
      <c r="R198" s="64"/>
      <c r="S198" s="64"/>
      <c r="T198" s="64"/>
      <c r="U198" s="64"/>
      <c r="V198" s="64"/>
      <c r="W198" s="64"/>
      <c r="X198" s="64"/>
      <c r="Y198" s="64"/>
      <c r="Z198" s="64"/>
      <c r="AA198" s="64" t="s">
        <v>903</v>
      </c>
      <c r="AB198" s="64" t="s">
        <v>582</v>
      </c>
      <c r="AC198" s="64" t="s">
        <v>946</v>
      </c>
      <c r="AD198" s="64" t="s">
        <v>682</v>
      </c>
      <c r="AE198" s="64"/>
      <c r="AF198" s="64" t="s">
        <v>681</v>
      </c>
      <c r="AG198" s="64" t="b">
        <v>1</v>
      </c>
      <c r="AH198" s="64">
        <v>220</v>
      </c>
      <c r="AI198" s="88">
        <v>400</v>
      </c>
      <c r="AJ198" s="88" t="b">
        <v>1</v>
      </c>
      <c r="AK198" s="64"/>
      <c r="AL198" s="64"/>
      <c r="AM198" s="64"/>
      <c r="AN198" s="64"/>
      <c r="AO198" s="64"/>
      <c r="AP198" s="64"/>
      <c r="AQ198" s="119"/>
    </row>
    <row r="199" spans="1:43" ht="30">
      <c r="A199" s="64" t="s">
        <v>166</v>
      </c>
      <c r="B199" s="64" t="s">
        <v>166</v>
      </c>
      <c r="C199" s="64"/>
      <c r="D199" s="64" t="s">
        <v>166</v>
      </c>
      <c r="E199" s="64"/>
      <c r="F199" s="64"/>
      <c r="G199" s="64"/>
      <c r="H199" s="64"/>
      <c r="I199" s="64"/>
      <c r="J199" s="64"/>
      <c r="K199" s="64"/>
      <c r="L199" s="106"/>
      <c r="M199" s="97"/>
      <c r="N199" s="64"/>
      <c r="O199" s="64"/>
      <c r="P199" s="64"/>
      <c r="Q199" s="64"/>
      <c r="R199" s="64"/>
      <c r="S199" s="64"/>
      <c r="T199" s="64"/>
      <c r="U199" s="64"/>
      <c r="V199" s="64"/>
      <c r="W199" s="64"/>
      <c r="X199" s="64"/>
      <c r="Y199" s="64"/>
      <c r="Z199" s="64"/>
      <c r="AA199" s="64" t="s">
        <v>903</v>
      </c>
      <c r="AB199" s="64" t="s">
        <v>582</v>
      </c>
      <c r="AC199" s="64" t="s">
        <v>947</v>
      </c>
      <c r="AD199" s="64" t="s">
        <v>694</v>
      </c>
      <c r="AE199" s="64"/>
      <c r="AF199" s="64" t="s">
        <v>681</v>
      </c>
      <c r="AG199" s="64" t="b">
        <v>0</v>
      </c>
      <c r="AH199" s="64">
        <v>220</v>
      </c>
      <c r="AI199" s="64">
        <v>16</v>
      </c>
      <c r="AJ199" s="88" t="b">
        <v>1</v>
      </c>
      <c r="AK199" s="64"/>
      <c r="AL199" s="64"/>
      <c r="AM199" s="64"/>
      <c r="AN199" s="64"/>
      <c r="AO199" s="64"/>
      <c r="AP199" s="64"/>
      <c r="AQ199" s="119"/>
    </row>
    <row r="200" spans="1:43" ht="30">
      <c r="A200" s="64" t="s">
        <v>166</v>
      </c>
      <c r="B200" s="64" t="s">
        <v>166</v>
      </c>
      <c r="C200" s="64"/>
      <c r="D200" s="64" t="s">
        <v>166</v>
      </c>
      <c r="E200" s="64"/>
      <c r="F200" s="64"/>
      <c r="G200" s="64"/>
      <c r="H200" s="64"/>
      <c r="I200" s="64"/>
      <c r="J200" s="64"/>
      <c r="K200" s="64"/>
      <c r="L200" s="106"/>
      <c r="M200" s="97"/>
      <c r="N200" s="64"/>
      <c r="O200" s="64"/>
      <c r="P200" s="64"/>
      <c r="Q200" s="64"/>
      <c r="R200" s="64"/>
      <c r="S200" s="64"/>
      <c r="T200" s="64"/>
      <c r="U200" s="64"/>
      <c r="V200" s="64"/>
      <c r="W200" s="64"/>
      <c r="X200" s="64"/>
      <c r="Y200" s="64"/>
      <c r="Z200" s="64"/>
      <c r="AA200" s="64" t="s">
        <v>903</v>
      </c>
      <c r="AB200" s="64" t="s">
        <v>582</v>
      </c>
      <c r="AC200" s="64" t="s">
        <v>948</v>
      </c>
      <c r="AD200" s="64" t="s">
        <v>694</v>
      </c>
      <c r="AE200" s="64"/>
      <c r="AF200" s="64" t="s">
        <v>681</v>
      </c>
      <c r="AG200" s="64" t="b">
        <v>0</v>
      </c>
      <c r="AH200" s="64">
        <v>220</v>
      </c>
      <c r="AI200" s="64">
        <v>16</v>
      </c>
      <c r="AJ200" s="88" t="b">
        <v>1</v>
      </c>
      <c r="AK200" s="64"/>
      <c r="AL200" s="64"/>
      <c r="AM200" s="64"/>
      <c r="AN200" s="64"/>
      <c r="AO200" s="64"/>
      <c r="AP200" s="64"/>
      <c r="AQ200" s="119"/>
    </row>
    <row r="201" spans="1:43" ht="30">
      <c r="A201" s="64" t="s">
        <v>166</v>
      </c>
      <c r="B201" s="64" t="s">
        <v>166</v>
      </c>
      <c r="C201" s="64"/>
      <c r="D201" s="64" t="s">
        <v>166</v>
      </c>
      <c r="E201" s="64"/>
      <c r="F201" s="64"/>
      <c r="G201" s="64"/>
      <c r="H201" s="64"/>
      <c r="I201" s="64"/>
      <c r="J201" s="64"/>
      <c r="K201" s="64"/>
      <c r="L201" s="106"/>
      <c r="M201" s="97"/>
      <c r="N201" s="64"/>
      <c r="O201" s="64"/>
      <c r="P201" s="64"/>
      <c r="Q201" s="64"/>
      <c r="R201" s="64"/>
      <c r="S201" s="64"/>
      <c r="T201" s="64"/>
      <c r="U201" s="64"/>
      <c r="V201" s="64"/>
      <c r="W201" s="64"/>
      <c r="X201" s="64"/>
      <c r="Y201" s="64"/>
      <c r="Z201" s="64"/>
      <c r="AA201" s="64" t="s">
        <v>903</v>
      </c>
      <c r="AB201" s="64" t="s">
        <v>582</v>
      </c>
      <c r="AC201" s="64" t="s">
        <v>949</v>
      </c>
      <c r="AD201" s="64" t="s">
        <v>694</v>
      </c>
      <c r="AE201" s="64"/>
      <c r="AF201" s="64" t="s">
        <v>681</v>
      </c>
      <c r="AG201" s="64" t="b">
        <v>0</v>
      </c>
      <c r="AH201" s="64">
        <v>220</v>
      </c>
      <c r="AI201" s="64">
        <v>16</v>
      </c>
      <c r="AJ201" s="88" t="b">
        <v>1</v>
      </c>
      <c r="AK201" s="64"/>
      <c r="AL201" s="64"/>
      <c r="AM201" s="64"/>
      <c r="AN201" s="64"/>
      <c r="AO201" s="64"/>
      <c r="AP201" s="64"/>
      <c r="AQ201" s="119"/>
    </row>
    <row r="202" spans="1:43" ht="30">
      <c r="A202" s="64" t="s">
        <v>166</v>
      </c>
      <c r="B202" s="64" t="s">
        <v>166</v>
      </c>
      <c r="C202" s="64"/>
      <c r="D202" s="64" t="s">
        <v>166</v>
      </c>
      <c r="E202" s="64"/>
      <c r="F202" s="64"/>
      <c r="G202" s="64"/>
      <c r="H202" s="64"/>
      <c r="I202" s="64"/>
      <c r="J202" s="64"/>
      <c r="K202" s="64"/>
      <c r="L202" s="106"/>
      <c r="M202" s="97"/>
      <c r="N202" s="64"/>
      <c r="O202" s="64"/>
      <c r="P202" s="64"/>
      <c r="Q202" s="64"/>
      <c r="R202" s="64"/>
      <c r="S202" s="64"/>
      <c r="T202" s="64"/>
      <c r="U202" s="64"/>
      <c r="V202" s="64"/>
      <c r="W202" s="64"/>
      <c r="X202" s="64"/>
      <c r="Y202" s="64"/>
      <c r="Z202" s="64"/>
      <c r="AA202" s="64" t="s">
        <v>903</v>
      </c>
      <c r="AB202" s="64" t="s">
        <v>582</v>
      </c>
      <c r="AC202" s="64" t="s">
        <v>950</v>
      </c>
      <c r="AD202" s="64" t="s">
        <v>694</v>
      </c>
      <c r="AE202" s="64"/>
      <c r="AF202" s="64" t="s">
        <v>681</v>
      </c>
      <c r="AG202" s="64" t="b">
        <v>0</v>
      </c>
      <c r="AH202" s="64">
        <v>220</v>
      </c>
      <c r="AI202" s="64">
        <v>16</v>
      </c>
      <c r="AJ202" s="88" t="b">
        <v>1</v>
      </c>
      <c r="AK202" s="64"/>
      <c r="AL202" s="64"/>
      <c r="AM202" s="64"/>
      <c r="AN202" s="64"/>
      <c r="AO202" s="64"/>
      <c r="AP202" s="64"/>
      <c r="AQ202" s="119"/>
    </row>
    <row r="203" spans="1:43">
      <c r="A203" s="64" t="s">
        <v>166</v>
      </c>
      <c r="B203" s="64" t="s">
        <v>166</v>
      </c>
      <c r="C203" s="64"/>
      <c r="D203" s="64" t="s">
        <v>166</v>
      </c>
      <c r="E203" s="64"/>
      <c r="F203" s="64"/>
      <c r="G203" s="64"/>
      <c r="H203" s="64"/>
      <c r="I203" s="64"/>
      <c r="J203" s="64"/>
      <c r="K203" s="64"/>
      <c r="L203" s="106"/>
      <c r="M203" s="97"/>
      <c r="N203" s="64"/>
      <c r="O203" s="64"/>
      <c r="P203" s="64"/>
      <c r="Q203" s="64"/>
      <c r="R203" s="64"/>
      <c r="S203" s="64"/>
      <c r="T203" s="64"/>
      <c r="U203" s="64"/>
      <c r="V203" s="64"/>
      <c r="W203" s="64"/>
      <c r="X203" s="64"/>
      <c r="Y203" s="64"/>
      <c r="Z203" s="64"/>
      <c r="AA203" s="64" t="s">
        <v>903</v>
      </c>
      <c r="AB203" s="64" t="s">
        <v>582</v>
      </c>
      <c r="AC203" s="64" t="s">
        <v>951</v>
      </c>
      <c r="AD203" s="64" t="s">
        <v>694</v>
      </c>
      <c r="AE203" s="64"/>
      <c r="AF203" s="64" t="s">
        <v>681</v>
      </c>
      <c r="AG203" s="64" t="b">
        <v>0</v>
      </c>
      <c r="AH203" s="64">
        <v>220</v>
      </c>
      <c r="AI203" s="64">
        <v>16</v>
      </c>
      <c r="AJ203" s="88" t="b">
        <v>1</v>
      </c>
      <c r="AK203" s="64"/>
      <c r="AL203" s="64"/>
      <c r="AM203" s="64"/>
      <c r="AN203" s="64"/>
      <c r="AO203" s="64"/>
      <c r="AP203" s="64"/>
      <c r="AQ203" s="119"/>
    </row>
    <row r="204" spans="1:43" ht="30">
      <c r="A204" s="64" t="s">
        <v>166</v>
      </c>
      <c r="B204" s="64" t="s">
        <v>166</v>
      </c>
      <c r="C204" s="64"/>
      <c r="D204" s="64" t="s">
        <v>166</v>
      </c>
      <c r="E204" s="64"/>
      <c r="F204" s="64"/>
      <c r="G204" s="64"/>
      <c r="H204" s="64"/>
      <c r="I204" s="64"/>
      <c r="J204" s="64"/>
      <c r="K204" s="64"/>
      <c r="L204" s="106"/>
      <c r="M204" s="97"/>
      <c r="N204" s="64"/>
      <c r="O204" s="64"/>
      <c r="P204" s="64"/>
      <c r="Q204" s="64"/>
      <c r="R204" s="64"/>
      <c r="S204" s="64"/>
      <c r="T204" s="64"/>
      <c r="U204" s="64"/>
      <c r="V204" s="64"/>
      <c r="W204" s="64"/>
      <c r="X204" s="64"/>
      <c r="Y204" s="64"/>
      <c r="Z204" s="64"/>
      <c r="AA204" s="64" t="s">
        <v>903</v>
      </c>
      <c r="AB204" s="64" t="s">
        <v>582</v>
      </c>
      <c r="AC204" s="64" t="s">
        <v>952</v>
      </c>
      <c r="AD204" s="64" t="s">
        <v>694</v>
      </c>
      <c r="AE204" s="64"/>
      <c r="AF204" s="64" t="s">
        <v>681</v>
      </c>
      <c r="AG204" s="64" t="b">
        <v>0</v>
      </c>
      <c r="AH204" s="64">
        <v>220</v>
      </c>
      <c r="AI204" s="64">
        <v>16</v>
      </c>
      <c r="AJ204" s="88" t="b">
        <v>1</v>
      </c>
      <c r="AK204" s="64"/>
      <c r="AL204" s="64"/>
      <c r="AM204" s="64"/>
      <c r="AN204" s="64"/>
      <c r="AO204" s="64"/>
      <c r="AP204" s="64"/>
      <c r="AQ204" s="119"/>
    </row>
    <row r="205" spans="1:43" ht="30">
      <c r="A205" s="64" t="s">
        <v>166</v>
      </c>
      <c r="B205" s="64" t="s">
        <v>166</v>
      </c>
      <c r="C205" s="64"/>
      <c r="D205" s="64" t="s">
        <v>166</v>
      </c>
      <c r="E205" s="64"/>
      <c r="F205" s="64"/>
      <c r="G205" s="64"/>
      <c r="H205" s="64"/>
      <c r="I205" s="64"/>
      <c r="J205" s="64"/>
      <c r="K205" s="64"/>
      <c r="L205" s="106"/>
      <c r="M205" s="97"/>
      <c r="N205" s="64"/>
      <c r="O205" s="64"/>
      <c r="P205" s="64"/>
      <c r="Q205" s="64"/>
      <c r="R205" s="64"/>
      <c r="S205" s="64"/>
      <c r="T205" s="64"/>
      <c r="U205" s="64"/>
      <c r="V205" s="64"/>
      <c r="W205" s="64"/>
      <c r="X205" s="64"/>
      <c r="Y205" s="64"/>
      <c r="Z205" s="64"/>
      <c r="AA205" s="64" t="s">
        <v>903</v>
      </c>
      <c r="AB205" s="64" t="s">
        <v>582</v>
      </c>
      <c r="AC205" s="64" t="s">
        <v>953</v>
      </c>
      <c r="AD205" s="64" t="s">
        <v>694</v>
      </c>
      <c r="AE205" s="64"/>
      <c r="AF205" s="64" t="s">
        <v>681</v>
      </c>
      <c r="AG205" s="64" t="b">
        <v>0</v>
      </c>
      <c r="AH205" s="64">
        <v>220</v>
      </c>
      <c r="AI205" s="64">
        <v>16</v>
      </c>
      <c r="AJ205" s="88" t="b">
        <v>1</v>
      </c>
      <c r="AK205" s="64"/>
      <c r="AL205" s="64"/>
      <c r="AM205" s="64"/>
      <c r="AN205" s="64"/>
      <c r="AO205" s="64"/>
      <c r="AP205" s="64"/>
      <c r="AQ205" s="119"/>
    </row>
    <row r="206" spans="1:43">
      <c r="A206" s="64" t="s">
        <v>166</v>
      </c>
      <c r="B206" s="64" t="s">
        <v>166</v>
      </c>
      <c r="C206" s="64"/>
      <c r="D206" s="64" t="s">
        <v>166</v>
      </c>
      <c r="E206" s="64"/>
      <c r="F206" s="64"/>
      <c r="G206" s="64"/>
      <c r="H206" s="64"/>
      <c r="I206" s="64"/>
      <c r="J206" s="64"/>
      <c r="K206" s="64"/>
      <c r="L206" s="106"/>
      <c r="M206" s="97"/>
      <c r="N206" s="64"/>
      <c r="O206" s="64"/>
      <c r="P206" s="64"/>
      <c r="Q206" s="64"/>
      <c r="R206" s="64"/>
      <c r="S206" s="64"/>
      <c r="T206" s="64"/>
      <c r="U206" s="64"/>
      <c r="V206" s="64"/>
      <c r="W206" s="64"/>
      <c r="X206" s="64"/>
      <c r="Y206" s="64"/>
      <c r="Z206" s="64"/>
      <c r="AA206" s="64" t="s">
        <v>903</v>
      </c>
      <c r="AB206" s="64" t="s">
        <v>582</v>
      </c>
      <c r="AC206" s="64" t="s">
        <v>954</v>
      </c>
      <c r="AD206" s="64" t="s">
        <v>694</v>
      </c>
      <c r="AE206" s="64"/>
      <c r="AF206" s="64" t="s">
        <v>681</v>
      </c>
      <c r="AG206" s="64" t="b">
        <v>0</v>
      </c>
      <c r="AH206" s="64">
        <v>220</v>
      </c>
      <c r="AI206" s="64">
        <v>16</v>
      </c>
      <c r="AJ206" s="88" t="b">
        <v>1</v>
      </c>
      <c r="AK206" s="64"/>
      <c r="AL206" s="64"/>
      <c r="AM206" s="64"/>
      <c r="AN206" s="64"/>
      <c r="AO206" s="64"/>
      <c r="AP206" s="64"/>
      <c r="AQ206" s="119"/>
    </row>
    <row r="207" spans="1:43">
      <c r="A207" s="64" t="s">
        <v>166</v>
      </c>
      <c r="B207" s="64" t="s">
        <v>166</v>
      </c>
      <c r="C207" s="64"/>
      <c r="D207" s="64" t="s">
        <v>166</v>
      </c>
      <c r="E207" s="64"/>
      <c r="F207" s="64"/>
      <c r="G207" s="64"/>
      <c r="H207" s="64"/>
      <c r="I207" s="64"/>
      <c r="J207" s="64"/>
      <c r="K207" s="64"/>
      <c r="L207" s="106"/>
      <c r="M207" s="97"/>
      <c r="N207" s="64"/>
      <c r="O207" s="64"/>
      <c r="P207" s="64"/>
      <c r="Q207" s="64"/>
      <c r="R207" s="64"/>
      <c r="S207" s="64"/>
      <c r="T207" s="64"/>
      <c r="U207" s="64"/>
      <c r="V207" s="64"/>
      <c r="W207" s="64"/>
      <c r="X207" s="64"/>
      <c r="Y207" s="64"/>
      <c r="Z207" s="64"/>
      <c r="AA207" s="64" t="s">
        <v>903</v>
      </c>
      <c r="AB207" s="64" t="s">
        <v>582</v>
      </c>
      <c r="AC207" s="64" t="s">
        <v>955</v>
      </c>
      <c r="AD207" s="64" t="s">
        <v>694</v>
      </c>
      <c r="AE207" s="64"/>
      <c r="AF207" s="64" t="s">
        <v>681</v>
      </c>
      <c r="AG207" s="64" t="b">
        <v>0</v>
      </c>
      <c r="AH207" s="64">
        <v>220</v>
      </c>
      <c r="AI207" s="64">
        <v>16</v>
      </c>
      <c r="AJ207" s="88" t="b">
        <v>1</v>
      </c>
      <c r="AK207" s="64"/>
      <c r="AL207" s="64"/>
      <c r="AM207" s="64"/>
      <c r="AN207" s="64"/>
      <c r="AO207" s="64"/>
      <c r="AP207" s="64"/>
      <c r="AQ207" s="119"/>
    </row>
    <row r="208" spans="1:43" ht="30">
      <c r="A208" s="64" t="s">
        <v>166</v>
      </c>
      <c r="B208" s="64" t="s">
        <v>166</v>
      </c>
      <c r="C208" s="64"/>
      <c r="D208" s="64" t="s">
        <v>166</v>
      </c>
      <c r="E208" s="64"/>
      <c r="F208" s="64"/>
      <c r="G208" s="64"/>
      <c r="H208" s="64"/>
      <c r="I208" s="64"/>
      <c r="J208" s="64"/>
      <c r="K208" s="64"/>
      <c r="L208" s="106"/>
      <c r="M208" s="97"/>
      <c r="N208" s="64"/>
      <c r="O208" s="64"/>
      <c r="P208" s="64"/>
      <c r="Q208" s="64"/>
      <c r="R208" s="64"/>
      <c r="S208" s="64"/>
      <c r="T208" s="64"/>
      <c r="U208" s="64"/>
      <c r="V208" s="64"/>
      <c r="W208" s="64"/>
      <c r="X208" s="64"/>
      <c r="Y208" s="64"/>
      <c r="Z208" s="64"/>
      <c r="AA208" s="64" t="s">
        <v>903</v>
      </c>
      <c r="AB208" s="64" t="s">
        <v>582</v>
      </c>
      <c r="AC208" s="64" t="s">
        <v>956</v>
      </c>
      <c r="AD208" s="64" t="s">
        <v>694</v>
      </c>
      <c r="AE208" s="64"/>
      <c r="AF208" s="64" t="s">
        <v>681</v>
      </c>
      <c r="AG208" s="64" t="b">
        <v>0</v>
      </c>
      <c r="AH208" s="64">
        <v>220</v>
      </c>
      <c r="AI208" s="64">
        <v>16</v>
      </c>
      <c r="AJ208" s="88" t="b">
        <v>1</v>
      </c>
      <c r="AK208" s="64"/>
      <c r="AL208" s="64"/>
      <c r="AM208" s="64"/>
      <c r="AN208" s="64"/>
      <c r="AO208" s="64"/>
      <c r="AP208" s="64"/>
      <c r="AQ208" s="119"/>
    </row>
    <row r="209" spans="1:43">
      <c r="A209" s="64" t="s">
        <v>166</v>
      </c>
      <c r="B209" s="64" t="s">
        <v>166</v>
      </c>
      <c r="C209" s="64"/>
      <c r="D209" s="64" t="s">
        <v>166</v>
      </c>
      <c r="E209" s="64"/>
      <c r="F209" s="64"/>
      <c r="G209" s="64"/>
      <c r="H209" s="64"/>
      <c r="I209" s="64"/>
      <c r="J209" s="64"/>
      <c r="K209" s="64"/>
      <c r="L209" s="106"/>
      <c r="M209" s="97"/>
      <c r="N209" s="64"/>
      <c r="O209" s="64"/>
      <c r="P209" s="64"/>
      <c r="Q209" s="64"/>
      <c r="R209" s="64"/>
      <c r="S209" s="64"/>
      <c r="T209" s="64"/>
      <c r="U209" s="64"/>
      <c r="V209" s="64"/>
      <c r="W209" s="64"/>
      <c r="X209" s="64"/>
      <c r="Y209" s="64"/>
      <c r="Z209" s="64"/>
      <c r="AA209" s="64" t="s">
        <v>903</v>
      </c>
      <c r="AB209" s="64" t="s">
        <v>582</v>
      </c>
      <c r="AC209" s="64" t="s">
        <v>957</v>
      </c>
      <c r="AD209" s="64" t="s">
        <v>694</v>
      </c>
      <c r="AE209" s="64"/>
      <c r="AF209" s="64" t="s">
        <v>681</v>
      </c>
      <c r="AG209" s="64" t="b">
        <v>0</v>
      </c>
      <c r="AH209" s="64">
        <v>220</v>
      </c>
      <c r="AI209" s="64">
        <v>16</v>
      </c>
      <c r="AJ209" s="88" t="b">
        <v>1</v>
      </c>
      <c r="AK209" s="64"/>
      <c r="AL209" s="64"/>
      <c r="AM209" s="64"/>
      <c r="AN209" s="64"/>
      <c r="AO209" s="64"/>
      <c r="AP209" s="64"/>
      <c r="AQ209" s="119"/>
    </row>
    <row r="210" spans="1:43" ht="30">
      <c r="A210" s="64" t="s">
        <v>166</v>
      </c>
      <c r="B210" s="64" t="s">
        <v>166</v>
      </c>
      <c r="C210" s="64"/>
      <c r="D210" s="64" t="s">
        <v>166</v>
      </c>
      <c r="E210" s="64"/>
      <c r="F210" s="64"/>
      <c r="G210" s="64"/>
      <c r="H210" s="64"/>
      <c r="I210" s="64"/>
      <c r="J210" s="64"/>
      <c r="K210" s="64"/>
      <c r="L210" s="106"/>
      <c r="M210" s="97"/>
      <c r="N210" s="64"/>
      <c r="O210" s="64"/>
      <c r="P210" s="64"/>
      <c r="Q210" s="64"/>
      <c r="R210" s="64"/>
      <c r="S210" s="64"/>
      <c r="T210" s="64"/>
      <c r="U210" s="64"/>
      <c r="V210" s="64"/>
      <c r="W210" s="64"/>
      <c r="X210" s="64"/>
      <c r="Y210" s="64"/>
      <c r="Z210" s="64"/>
      <c r="AA210" s="64" t="s">
        <v>903</v>
      </c>
      <c r="AB210" s="64" t="s">
        <v>958</v>
      </c>
      <c r="AC210" s="64" t="s">
        <v>959</v>
      </c>
      <c r="AD210" s="64" t="s">
        <v>694</v>
      </c>
      <c r="AE210" s="64"/>
      <c r="AF210" s="64"/>
      <c r="AG210" s="64" t="b">
        <v>0</v>
      </c>
      <c r="AH210" s="64">
        <v>220</v>
      </c>
      <c r="AI210" s="64">
        <v>16</v>
      </c>
      <c r="AJ210" s="88" t="b">
        <v>1</v>
      </c>
      <c r="AK210" s="64"/>
      <c r="AL210" s="64"/>
      <c r="AM210" s="64"/>
      <c r="AN210" s="64"/>
      <c r="AO210" s="64"/>
      <c r="AP210" s="64"/>
      <c r="AQ210" s="119"/>
    </row>
    <row r="211" spans="1:43" ht="30">
      <c r="A211" s="64" t="s">
        <v>166</v>
      </c>
      <c r="B211" s="64" t="s">
        <v>166</v>
      </c>
      <c r="C211" s="64"/>
      <c r="D211" s="64" t="s">
        <v>166</v>
      </c>
      <c r="E211" s="64"/>
      <c r="F211" s="64"/>
      <c r="G211" s="64"/>
      <c r="H211" s="64"/>
      <c r="I211" s="64"/>
      <c r="J211" s="64"/>
      <c r="K211" s="64"/>
      <c r="L211" s="106"/>
      <c r="M211" s="97"/>
      <c r="N211" s="64"/>
      <c r="O211" s="64"/>
      <c r="P211" s="64"/>
      <c r="Q211" s="64"/>
      <c r="R211" s="64"/>
      <c r="S211" s="64"/>
      <c r="T211" s="64"/>
      <c r="U211" s="64"/>
      <c r="V211" s="64"/>
      <c r="W211" s="64"/>
      <c r="X211" s="64"/>
      <c r="Y211" s="64"/>
      <c r="Z211" s="64"/>
      <c r="AA211" s="64" t="s">
        <v>903</v>
      </c>
      <c r="AB211" s="64" t="s">
        <v>958</v>
      </c>
      <c r="AC211" s="64" t="s">
        <v>960</v>
      </c>
      <c r="AD211" s="64" t="s">
        <v>694</v>
      </c>
      <c r="AE211" s="64"/>
      <c r="AF211" s="64"/>
      <c r="AG211" s="64" t="b">
        <v>0</v>
      </c>
      <c r="AH211" s="64">
        <v>220</v>
      </c>
      <c r="AI211" s="64">
        <v>16</v>
      </c>
      <c r="AJ211" s="88" t="b">
        <v>1</v>
      </c>
      <c r="AK211" s="64"/>
      <c r="AL211" s="64"/>
      <c r="AM211" s="64"/>
      <c r="AN211" s="64"/>
      <c r="AO211" s="64"/>
      <c r="AP211" s="64"/>
      <c r="AQ211" s="119"/>
    </row>
    <row r="212" spans="1:43" ht="30">
      <c r="A212" s="64" t="s">
        <v>166</v>
      </c>
      <c r="B212" s="64" t="s">
        <v>961</v>
      </c>
      <c r="C212" s="64"/>
      <c r="D212" s="64"/>
      <c r="E212" s="64" t="s">
        <v>686</v>
      </c>
      <c r="F212" s="64"/>
      <c r="G212" s="64"/>
      <c r="H212" s="88">
        <v>220</v>
      </c>
      <c r="I212" s="88">
        <v>400</v>
      </c>
      <c r="J212" s="64"/>
      <c r="K212" s="64"/>
      <c r="L212" s="106"/>
      <c r="M212" s="97"/>
      <c r="N212" s="64"/>
      <c r="O212" s="64"/>
      <c r="P212" s="64"/>
      <c r="Q212" s="64"/>
      <c r="R212" s="64"/>
      <c r="S212" s="64"/>
      <c r="T212" s="64"/>
      <c r="U212" s="64"/>
      <c r="V212" s="64"/>
      <c r="W212" s="64"/>
      <c r="X212" s="64"/>
      <c r="Y212" s="64"/>
      <c r="Z212" s="64"/>
      <c r="AA212" s="64" t="s">
        <v>903</v>
      </c>
      <c r="AB212" s="64" t="s">
        <v>958</v>
      </c>
      <c r="AC212" s="64" t="s">
        <v>962</v>
      </c>
      <c r="AD212" s="64" t="s">
        <v>694</v>
      </c>
      <c r="AE212" s="64"/>
      <c r="AF212" s="64"/>
      <c r="AG212" s="64" t="b">
        <v>0</v>
      </c>
      <c r="AH212" s="88">
        <v>220</v>
      </c>
      <c r="AI212" s="64">
        <v>16</v>
      </c>
      <c r="AJ212" s="88" t="b">
        <v>1</v>
      </c>
      <c r="AK212" s="64"/>
      <c r="AL212" s="64"/>
      <c r="AM212" s="64"/>
      <c r="AN212" s="64"/>
      <c r="AO212" s="64"/>
      <c r="AP212" s="64"/>
      <c r="AQ212" s="119" t="s">
        <v>963</v>
      </c>
    </row>
    <row r="213" spans="1:43" ht="30">
      <c r="A213" s="64" t="s">
        <v>166</v>
      </c>
      <c r="B213" s="64" t="s">
        <v>166</v>
      </c>
      <c r="C213" s="64"/>
      <c r="D213" s="64" t="s">
        <v>166</v>
      </c>
      <c r="E213" s="64"/>
      <c r="F213" s="64"/>
      <c r="G213" s="64"/>
      <c r="H213" s="64"/>
      <c r="I213" s="64"/>
      <c r="J213" s="64"/>
      <c r="K213" s="64"/>
      <c r="L213" s="106"/>
      <c r="M213" s="97"/>
      <c r="N213" s="64"/>
      <c r="O213" s="64"/>
      <c r="P213" s="64"/>
      <c r="Q213" s="64"/>
      <c r="R213" s="64"/>
      <c r="S213" s="64"/>
      <c r="T213" s="64"/>
      <c r="U213" s="64"/>
      <c r="V213" s="64"/>
      <c r="W213" s="64"/>
      <c r="X213" s="64"/>
      <c r="Y213" s="64"/>
      <c r="Z213" s="64"/>
      <c r="AA213" s="64" t="s">
        <v>903</v>
      </c>
      <c r="AB213" s="64" t="s">
        <v>958</v>
      </c>
      <c r="AC213" s="64" t="s">
        <v>964</v>
      </c>
      <c r="AD213" s="64" t="s">
        <v>694</v>
      </c>
      <c r="AE213" s="64"/>
      <c r="AF213" s="64"/>
      <c r="AG213" s="64" t="b">
        <v>0</v>
      </c>
      <c r="AH213" s="64">
        <v>220</v>
      </c>
      <c r="AI213" s="64">
        <v>16</v>
      </c>
      <c r="AJ213" s="88" t="b">
        <v>1</v>
      </c>
      <c r="AK213" s="64"/>
      <c r="AL213" s="64"/>
      <c r="AM213" s="64"/>
      <c r="AN213" s="64"/>
      <c r="AO213" s="64"/>
      <c r="AP213" s="64"/>
      <c r="AQ213" s="119" t="s">
        <v>965</v>
      </c>
    </row>
    <row r="214" spans="1:43" ht="30">
      <c r="A214" s="84" t="s">
        <v>166</v>
      </c>
      <c r="B214" s="84" t="s">
        <v>966</v>
      </c>
      <c r="C214" s="84"/>
      <c r="D214" s="84"/>
      <c r="E214" s="84" t="s">
        <v>686</v>
      </c>
      <c r="F214" s="84"/>
      <c r="G214" s="84"/>
      <c r="H214" s="90">
        <v>220</v>
      </c>
      <c r="I214" s="90">
        <v>400</v>
      </c>
      <c r="J214" s="84"/>
      <c r="K214" s="84"/>
      <c r="L214" s="107"/>
      <c r="M214" s="98"/>
      <c r="N214" s="84"/>
      <c r="O214" s="84"/>
      <c r="P214" s="84"/>
      <c r="Q214" s="84"/>
      <c r="R214" s="84"/>
      <c r="S214" s="84"/>
      <c r="T214" s="84"/>
      <c r="U214" s="84"/>
      <c r="V214" s="84"/>
      <c r="W214" s="84"/>
      <c r="X214" s="84"/>
      <c r="Y214" s="84"/>
      <c r="Z214" s="84"/>
      <c r="AA214" s="84" t="s">
        <v>903</v>
      </c>
      <c r="AB214" s="84" t="s">
        <v>958</v>
      </c>
      <c r="AC214" s="84" t="s">
        <v>967</v>
      </c>
      <c r="AD214" s="84" t="s">
        <v>694</v>
      </c>
      <c r="AE214" s="84"/>
      <c r="AF214" s="84"/>
      <c r="AG214" s="84" t="b">
        <v>0</v>
      </c>
      <c r="AH214" s="90">
        <v>220</v>
      </c>
      <c r="AI214" s="84">
        <v>16</v>
      </c>
      <c r="AJ214" s="90" t="b">
        <v>1</v>
      </c>
      <c r="AK214" s="84"/>
      <c r="AL214" s="84"/>
      <c r="AM214" s="84"/>
      <c r="AN214" s="84"/>
      <c r="AO214" s="84"/>
      <c r="AP214" s="84"/>
      <c r="AQ214" s="120" t="s">
        <v>968</v>
      </c>
    </row>
    <row r="215" spans="1:43">
      <c r="A215" s="85" t="s">
        <v>166</v>
      </c>
      <c r="B215" s="85" t="s">
        <v>969</v>
      </c>
      <c r="C215" s="85"/>
      <c r="D215" s="85"/>
      <c r="E215" s="85" t="s">
        <v>686</v>
      </c>
      <c r="F215" s="85"/>
      <c r="G215" s="85"/>
      <c r="H215" s="94">
        <v>220</v>
      </c>
      <c r="I215" s="94">
        <v>400</v>
      </c>
      <c r="J215" s="85"/>
      <c r="K215" s="85"/>
      <c r="L215" s="105"/>
      <c r="M215" s="100"/>
      <c r="N215" s="85"/>
      <c r="O215" s="85"/>
      <c r="P215" s="85"/>
      <c r="Q215" s="85"/>
      <c r="R215" s="85"/>
      <c r="S215" s="85"/>
      <c r="T215" s="85"/>
      <c r="U215" s="85"/>
      <c r="V215" s="85"/>
      <c r="W215" s="85"/>
      <c r="X215" s="85"/>
      <c r="Y215" s="85"/>
      <c r="Z215" s="85"/>
      <c r="AA215" s="85"/>
      <c r="AB215" s="85"/>
      <c r="AC215" s="85"/>
      <c r="AD215" s="85"/>
      <c r="AE215" s="85"/>
      <c r="AF215" s="85"/>
      <c r="AG215" s="85"/>
      <c r="AH215" s="94"/>
      <c r="AI215" s="85"/>
      <c r="AJ215" s="85"/>
      <c r="AK215" s="85"/>
      <c r="AL215" s="85"/>
      <c r="AM215" s="85"/>
      <c r="AN215" s="85"/>
      <c r="AO215" s="85"/>
      <c r="AP215" s="85"/>
      <c r="AQ215" s="122"/>
    </row>
    <row r="216" spans="1:43" ht="30">
      <c r="A216" s="64" t="s">
        <v>166</v>
      </c>
      <c r="B216" s="64" t="s">
        <v>166</v>
      </c>
      <c r="C216" s="64"/>
      <c r="D216" s="64" t="s">
        <v>166</v>
      </c>
      <c r="E216" s="64"/>
      <c r="F216" s="64"/>
      <c r="G216" s="64"/>
      <c r="H216" s="64"/>
      <c r="I216" s="64"/>
      <c r="J216" s="64"/>
      <c r="K216" s="64"/>
      <c r="L216" s="106"/>
      <c r="M216" s="97"/>
      <c r="N216" s="64"/>
      <c r="O216" s="64"/>
      <c r="P216" s="64"/>
      <c r="Q216" s="64"/>
      <c r="R216" s="64"/>
      <c r="S216" s="64"/>
      <c r="T216" s="64"/>
      <c r="U216" s="64"/>
      <c r="V216" s="64"/>
      <c r="W216" s="64"/>
      <c r="X216" s="64"/>
      <c r="Y216" s="64"/>
      <c r="Z216" s="64"/>
      <c r="AA216" s="64" t="s">
        <v>903</v>
      </c>
      <c r="AB216" s="64" t="s">
        <v>958</v>
      </c>
      <c r="AC216" s="64" t="s">
        <v>970</v>
      </c>
      <c r="AD216" s="64" t="s">
        <v>694</v>
      </c>
      <c r="AE216" s="64"/>
      <c r="AF216" s="64"/>
      <c r="AG216" s="64" t="b">
        <v>0</v>
      </c>
      <c r="AH216" s="64">
        <v>220</v>
      </c>
      <c r="AI216" s="64">
        <v>16</v>
      </c>
      <c r="AJ216" s="88" t="b">
        <v>1</v>
      </c>
      <c r="AK216" s="64"/>
      <c r="AL216" s="64"/>
      <c r="AM216" s="64"/>
      <c r="AN216" s="64"/>
      <c r="AO216" s="64"/>
      <c r="AP216" s="64"/>
      <c r="AQ216" s="119" t="s">
        <v>971</v>
      </c>
    </row>
    <row r="217" spans="1:43" ht="30">
      <c r="A217" s="64" t="s">
        <v>166</v>
      </c>
      <c r="B217" s="64" t="s">
        <v>166</v>
      </c>
      <c r="C217" s="64"/>
      <c r="D217" s="64" t="s">
        <v>166</v>
      </c>
      <c r="E217" s="64"/>
      <c r="F217" s="64"/>
      <c r="G217" s="64"/>
      <c r="H217" s="64"/>
      <c r="I217" s="64"/>
      <c r="J217" s="64"/>
      <c r="K217" s="64"/>
      <c r="L217" s="106"/>
      <c r="M217" s="97"/>
      <c r="N217" s="64"/>
      <c r="O217" s="64"/>
      <c r="P217" s="64"/>
      <c r="Q217" s="64"/>
      <c r="R217" s="64"/>
      <c r="S217" s="64"/>
      <c r="T217" s="64"/>
      <c r="U217" s="64"/>
      <c r="V217" s="64"/>
      <c r="W217" s="64"/>
      <c r="X217" s="64"/>
      <c r="Y217" s="64"/>
      <c r="Z217" s="64"/>
      <c r="AA217" s="64" t="s">
        <v>972</v>
      </c>
      <c r="AB217" s="64" t="s">
        <v>973</v>
      </c>
      <c r="AC217" s="64" t="s">
        <v>974</v>
      </c>
      <c r="AD217" s="64" t="s">
        <v>682</v>
      </c>
      <c r="AE217" s="64"/>
      <c r="AF217" s="64"/>
      <c r="AG217" s="64" t="b">
        <v>0</v>
      </c>
      <c r="AH217" s="64">
        <v>220</v>
      </c>
      <c r="AI217" s="88">
        <v>400</v>
      </c>
      <c r="AJ217" s="88" t="b">
        <v>1</v>
      </c>
      <c r="AK217" s="64"/>
      <c r="AL217" s="64"/>
      <c r="AM217" s="64"/>
      <c r="AN217" s="64"/>
      <c r="AO217" s="64"/>
      <c r="AP217" s="64"/>
      <c r="AQ217" s="119"/>
    </row>
  </sheetData>
  <dataConsolidate/>
  <mergeCells count="2">
    <mergeCell ref="A1:L1"/>
    <mergeCell ref="AA1:AQ1"/>
  </mergeCells>
  <phoneticPr fontId="19" type="noConversion"/>
  <conditionalFormatting sqref="AC218:AC1048576">
    <cfRule type="duplicateValues" dxfId="17" priority="14"/>
  </conditionalFormatting>
  <conditionalFormatting sqref="C218:C1048576">
    <cfRule type="notContainsBlanks" dxfId="16" priority="13">
      <formula>LEN(TRIM(C218))&gt;0</formula>
    </cfRule>
  </conditionalFormatting>
  <conditionalFormatting sqref="AC1">
    <cfRule type="duplicateValues" dxfId="15" priority="12"/>
  </conditionalFormatting>
  <conditionalFormatting sqref="AC2">
    <cfRule type="duplicateValues" dxfId="14" priority="7"/>
  </conditionalFormatting>
  <conditionalFormatting sqref="AC3:AC7 AC11:AC217">
    <cfRule type="duplicateValues" dxfId="13" priority="6"/>
  </conditionalFormatting>
  <conditionalFormatting sqref="C3:C7 C11:C217">
    <cfRule type="notContainsBlanks" dxfId="12" priority="5">
      <formula>LEN(TRIM(C3))&gt;0</formula>
    </cfRule>
  </conditionalFormatting>
  <conditionalFormatting sqref="AC10">
    <cfRule type="duplicateValues" dxfId="11" priority="4"/>
  </conditionalFormatting>
  <conditionalFormatting sqref="C10">
    <cfRule type="notContainsBlanks" dxfId="10" priority="3">
      <formula>LEN(TRIM(C10))&gt;0</formula>
    </cfRule>
  </conditionalFormatting>
  <conditionalFormatting sqref="AC8:AC9">
    <cfRule type="duplicateValues" dxfId="9" priority="2"/>
  </conditionalFormatting>
  <conditionalFormatting sqref="C8:C9">
    <cfRule type="notContainsBlanks" dxfId="8" priority="1">
      <formula>LEN(TRIM(C8))&gt;0</formula>
    </cfRule>
  </conditionalFormatting>
  <dataValidations count="10">
    <dataValidation type="list" allowBlank="1" showInputMessage="1" showErrorMessage="1" sqref="AG121:AG1048576 AG2:AG106 AG108:AG116 AG118:AG119" xr:uid="{7F295C80-A714-4F7B-A1C8-E52997FA5C44}">
      <formula1>"true,false"</formula1>
    </dataValidation>
    <dataValidation type="list" allowBlank="1" showInputMessage="1" showErrorMessage="1" sqref="AP3:AP1048576" xr:uid="{C83A3095-926A-40FE-A788-2A058516C679}">
      <formula1>"All Captilize, Initial Captalize, All lower Cases"</formula1>
    </dataValidation>
    <dataValidation type="list" allowBlank="1" showInputMessage="1" showErrorMessage="1" sqref="AL3:AL1048576" xr:uid="{7EFD4203-BAF0-4A5B-8FF1-B3CBCB162097}">
      <formula1>"Keep Numbers Only, Keep Letters Only, Keep Letters &amp; Numbers &amp; Spaces"</formula1>
    </dataValidation>
    <dataValidation type="list" allowBlank="1" showInputMessage="1" showErrorMessage="1" sqref="J2:J1048576 AJ2:AJ1048576" xr:uid="{CC2D5CC2-16F5-4D33-B50F-3DECBE27C939}">
      <formula1>"True, False"</formula1>
    </dataValidation>
    <dataValidation type="list" allowBlank="1" showInputMessage="1" showErrorMessage="1" sqref="AK2:AK1048576" xr:uid="{EADEB77B-4DF1-46B4-BFBC-54AA973D082C}">
      <formula1>"D, M, YY, DD, MM, YYYY"</formula1>
    </dataValidation>
    <dataValidation type="list" allowBlank="1" showInputMessage="1" showErrorMessage="1" sqref="AO2:AO1048576" xr:uid="{08F0AC19-7740-4946-A5A6-CEFCA5562D65}">
      <formula1>"All Capitalize, Initial Capitalize, All Lowercase"</formula1>
    </dataValidation>
    <dataValidation type="list" allowBlank="1" showInputMessage="1" showErrorMessage="1" sqref="I2:I1048576 AI2:AI1048576" xr:uid="{F23766A1-6F9A-4F02-A762-84F29D781A86}">
      <formula1>"400,280,200,16"</formula1>
    </dataValidation>
    <dataValidation type="list" allowBlank="1" showInputMessage="1" showErrorMessage="1" sqref="E2:E1048576 AD2:AD1048576" xr:uid="{EF06DD2E-9399-4716-8218-6911CAE52D08}">
      <formula1>"text,email,number,date,select,radio,checkbox"</formula1>
    </dataValidation>
    <dataValidation type="list" allowBlank="1" showInputMessage="1" showErrorMessage="1" sqref="F2:F1048576 AF2:AF1048576" xr:uid="{511C2CED-FFA7-40EF-90E3-F51BF5CC8E87}">
      <formula1>"Y,N"</formula1>
    </dataValidation>
    <dataValidation type="list" allowBlank="1" showInputMessage="1" showErrorMessage="1" sqref="AH1:AH1048576 H1:H1048576" xr:uid="{CF2FD039-A555-4365-B9B6-F57C4ADFB7F9}">
      <formula1>"220,240,260"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59" r:id="rId4" name="Button 51">
              <controlPr defaultSize="0" print="0" autoFill="0" autoPict="0" macro="[0]!New_Approach_V3.main">
                <anchor moveWithCells="1" sizeWithCells="1">
                  <from>
                    <xdr:col>1</xdr:col>
                    <xdr:colOff>1552575</xdr:colOff>
                    <xdr:row>0</xdr:row>
                    <xdr:rowOff>9525</xdr:rowOff>
                  </from>
                  <to>
                    <xdr:col>1</xdr:col>
                    <xdr:colOff>2924175</xdr:colOff>
                    <xdr:row>0</xdr:row>
                    <xdr:rowOff>523875</xdr:rowOff>
                  </to>
                </anchor>
              </controlPr>
            </control>
          </mc:Choice>
        </mc:AlternateContent>
        <mc:AlternateContent xmlns:mc="http://schemas.openxmlformats.org/markup-compatibility/2006">
          <mc:Choice Requires="x14">
            <control shapeId="17460" r:id="rId5" name="Button 52">
              <controlPr defaultSize="0" print="0" autoFill="0" autoPict="0" macro="[0]!auditConfig">
                <anchor moveWithCells="1" sizeWithCells="1">
                  <from>
                    <xdr:col>2</xdr:col>
                    <xdr:colOff>152400</xdr:colOff>
                    <xdr:row>0</xdr:row>
                    <xdr:rowOff>9525</xdr:rowOff>
                  </from>
                  <to>
                    <xdr:col>3</xdr:col>
                    <xdr:colOff>219075</xdr:colOff>
                    <xdr:row>0</xdr:row>
                    <xdr:rowOff>523875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D84"/>
  <sheetViews>
    <sheetView showGridLines="0" topLeftCell="A61" zoomScale="80" zoomScaleNormal="80" workbookViewId="0">
      <selection activeCell="A62" sqref="A62"/>
    </sheetView>
  </sheetViews>
  <sheetFormatPr defaultColWidth="50.7109375" defaultRowHeight="15"/>
  <cols>
    <col min="1" max="16384" width="50.7109375" style="14"/>
  </cols>
  <sheetData>
    <row r="1" spans="1:3">
      <c r="A1" s="69" t="s">
        <v>865</v>
      </c>
      <c r="B1" s="69" t="s">
        <v>498</v>
      </c>
      <c r="C1" s="69" t="s">
        <v>497</v>
      </c>
    </row>
    <row r="2" spans="1:3">
      <c r="A2" s="64" t="s">
        <v>975</v>
      </c>
      <c r="B2" s="64" t="s">
        <v>499</v>
      </c>
      <c r="C2" s="64" t="s">
        <v>245</v>
      </c>
    </row>
    <row r="4" spans="1:3">
      <c r="A4" s="69" t="s">
        <v>886</v>
      </c>
      <c r="B4" s="69" t="s">
        <v>498</v>
      </c>
      <c r="C4" s="69" t="s">
        <v>497</v>
      </c>
    </row>
    <row r="5" spans="1:3">
      <c r="A5" s="64" t="s">
        <v>975</v>
      </c>
      <c r="B5" s="64" t="s">
        <v>499</v>
      </c>
      <c r="C5" s="64" t="s">
        <v>248</v>
      </c>
    </row>
    <row r="7" spans="1:3">
      <c r="A7" s="69" t="s">
        <v>708</v>
      </c>
      <c r="B7" s="69" t="s">
        <v>498</v>
      </c>
      <c r="C7" s="69" t="s">
        <v>497</v>
      </c>
    </row>
    <row r="8" spans="1:3">
      <c r="A8" s="64" t="s">
        <v>975</v>
      </c>
      <c r="B8" s="64" t="s">
        <v>499</v>
      </c>
      <c r="C8" s="64" t="s">
        <v>245</v>
      </c>
    </row>
    <row r="10" spans="1:3">
      <c r="A10" s="69" t="s">
        <v>717</v>
      </c>
      <c r="B10" s="69" t="s">
        <v>498</v>
      </c>
      <c r="C10" s="69" t="s">
        <v>497</v>
      </c>
    </row>
    <row r="11" spans="1:3">
      <c r="A11" s="64" t="s">
        <v>975</v>
      </c>
      <c r="B11" s="64" t="s">
        <v>499</v>
      </c>
      <c r="C11" s="64" t="s">
        <v>248</v>
      </c>
    </row>
    <row r="13" spans="1:3">
      <c r="A13" s="69" t="s">
        <v>872</v>
      </c>
      <c r="B13" s="69" t="s">
        <v>498</v>
      </c>
      <c r="C13" s="69" t="s">
        <v>497</v>
      </c>
    </row>
    <row r="14" spans="1:3">
      <c r="A14" s="64" t="s">
        <v>975</v>
      </c>
      <c r="B14" s="64" t="s">
        <v>499</v>
      </c>
      <c r="C14" s="64" t="s">
        <v>248</v>
      </c>
    </row>
    <row r="16" spans="1:3">
      <c r="A16" s="69" t="s">
        <v>892</v>
      </c>
      <c r="B16" s="69" t="s">
        <v>498</v>
      </c>
      <c r="C16" s="69" t="s">
        <v>497</v>
      </c>
    </row>
    <row r="17" spans="1:3">
      <c r="A17" s="64" t="s">
        <v>975</v>
      </c>
      <c r="B17" s="64" t="s">
        <v>499</v>
      </c>
      <c r="C17" s="64" t="s">
        <v>248</v>
      </c>
    </row>
    <row r="19" spans="1:3">
      <c r="A19" s="69" t="s">
        <v>812</v>
      </c>
      <c r="B19" s="69" t="s">
        <v>175</v>
      </c>
    </row>
    <row r="20" spans="1:3">
      <c r="A20" s="64" t="s">
        <v>975</v>
      </c>
      <c r="B20" s="64" t="s">
        <v>176</v>
      </c>
    </row>
    <row r="22" spans="1:3">
      <c r="A22" s="69" t="s">
        <v>817</v>
      </c>
      <c r="B22" s="69" t="s">
        <v>175</v>
      </c>
    </row>
    <row r="23" spans="1:3">
      <c r="A23" s="64" t="s">
        <v>975</v>
      </c>
      <c r="B23" s="64" t="s">
        <v>176</v>
      </c>
    </row>
    <row r="25" spans="1:3">
      <c r="A25" s="69" t="s">
        <v>818</v>
      </c>
      <c r="B25" s="69" t="s">
        <v>175</v>
      </c>
    </row>
    <row r="26" spans="1:3">
      <c r="A26" s="64" t="s">
        <v>975</v>
      </c>
      <c r="B26" s="64" t="s">
        <v>176</v>
      </c>
    </row>
    <row r="28" spans="1:3">
      <c r="A28" s="69" t="s">
        <v>821</v>
      </c>
      <c r="B28" s="69" t="s">
        <v>175</v>
      </c>
    </row>
    <row r="29" spans="1:3">
      <c r="A29" s="64" t="s">
        <v>975</v>
      </c>
      <c r="B29" s="64" t="s">
        <v>176</v>
      </c>
    </row>
    <row r="31" spans="1:3">
      <c r="A31" s="69" t="s">
        <v>824</v>
      </c>
      <c r="B31" s="69" t="s">
        <v>175</v>
      </c>
    </row>
    <row r="32" spans="1:3">
      <c r="A32" s="64" t="s">
        <v>975</v>
      </c>
      <c r="B32" s="64" t="s">
        <v>176</v>
      </c>
    </row>
    <row r="34" spans="1:3">
      <c r="A34" s="69" t="s">
        <v>827</v>
      </c>
      <c r="B34" s="69" t="s">
        <v>175</v>
      </c>
    </row>
    <row r="35" spans="1:3">
      <c r="A35" s="64" t="s">
        <v>975</v>
      </c>
      <c r="B35" s="64" t="s">
        <v>176</v>
      </c>
    </row>
    <row r="37" spans="1:3">
      <c r="A37" s="69" t="s">
        <v>906</v>
      </c>
      <c r="B37" s="69" t="s">
        <v>260</v>
      </c>
      <c r="C37" s="69" t="s">
        <v>487</v>
      </c>
    </row>
    <row r="38" spans="1:3">
      <c r="A38" s="64" t="s">
        <v>975</v>
      </c>
      <c r="B38" s="72" t="s">
        <v>865</v>
      </c>
      <c r="C38" s="64" t="s">
        <v>488</v>
      </c>
    </row>
    <row r="39" spans="1:3">
      <c r="A39" s="64" t="s">
        <v>975</v>
      </c>
      <c r="B39" s="72" t="s">
        <v>886</v>
      </c>
      <c r="C39" s="64" t="s">
        <v>488</v>
      </c>
    </row>
    <row r="41" spans="1:3">
      <c r="A41" s="69" t="s">
        <v>902</v>
      </c>
      <c r="B41" s="69" t="s">
        <v>110</v>
      </c>
    </row>
    <row r="42" spans="1:3">
      <c r="A42" s="64" t="s">
        <v>975</v>
      </c>
      <c r="B42" s="72" t="s">
        <v>906</v>
      </c>
    </row>
    <row r="44" spans="1:3">
      <c r="A44" s="69" t="s">
        <v>911</v>
      </c>
      <c r="B44" s="69" t="s">
        <v>110</v>
      </c>
    </row>
    <row r="45" spans="1:3">
      <c r="A45" s="64" t="s">
        <v>975</v>
      </c>
      <c r="B45" s="72" t="s">
        <v>906</v>
      </c>
    </row>
    <row r="47" spans="1:3">
      <c r="A47" s="69" t="s">
        <v>914</v>
      </c>
      <c r="B47" s="69" t="s">
        <v>110</v>
      </c>
    </row>
    <row r="48" spans="1:3">
      <c r="A48" s="64" t="s">
        <v>975</v>
      </c>
      <c r="B48" s="72" t="s">
        <v>906</v>
      </c>
    </row>
    <row r="50" spans="1:2">
      <c r="A50" s="69" t="s">
        <v>917</v>
      </c>
      <c r="B50" s="69" t="s">
        <v>110</v>
      </c>
    </row>
    <row r="51" spans="1:2">
      <c r="A51" s="64" t="s">
        <v>975</v>
      </c>
      <c r="B51" s="72" t="s">
        <v>906</v>
      </c>
    </row>
    <row r="53" spans="1:2">
      <c r="A53" s="69" t="s">
        <v>920</v>
      </c>
      <c r="B53" s="69" t="s">
        <v>110</v>
      </c>
    </row>
    <row r="54" spans="1:2">
      <c r="A54" s="64" t="s">
        <v>975</v>
      </c>
      <c r="B54" s="72" t="s">
        <v>906</v>
      </c>
    </row>
    <row r="56" spans="1:2">
      <c r="A56" s="69" t="s">
        <v>921</v>
      </c>
      <c r="B56" s="69" t="s">
        <v>110</v>
      </c>
    </row>
    <row r="57" spans="1:2">
      <c r="A57" s="64" t="s">
        <v>975</v>
      </c>
      <c r="B57" s="72" t="s">
        <v>906</v>
      </c>
    </row>
    <row r="59" spans="1:2">
      <c r="A59" s="69" t="s">
        <v>922</v>
      </c>
      <c r="B59" s="69" t="s">
        <v>110</v>
      </c>
    </row>
    <row r="60" spans="1:2">
      <c r="A60" s="64" t="s">
        <v>975</v>
      </c>
      <c r="B60" s="72" t="s">
        <v>906</v>
      </c>
    </row>
    <row r="62" spans="1:2">
      <c r="A62" s="69" t="s">
        <v>927</v>
      </c>
      <c r="B62" s="69" t="s">
        <v>110</v>
      </c>
    </row>
    <row r="63" spans="1:2">
      <c r="A63" s="64" t="s">
        <v>975</v>
      </c>
      <c r="B63" s="72" t="s">
        <v>906</v>
      </c>
    </row>
    <row r="65" spans="1:4">
      <c r="A65" s="69" t="s">
        <v>935</v>
      </c>
      <c r="B65" s="69" t="s">
        <v>110</v>
      </c>
    </row>
    <row r="66" spans="1:4">
      <c r="A66" s="64" t="s">
        <v>975</v>
      </c>
      <c r="B66" s="72" t="s">
        <v>906</v>
      </c>
    </row>
    <row r="68" spans="1:4">
      <c r="A68" s="69" t="s">
        <v>175</v>
      </c>
      <c r="B68" s="69" t="s">
        <v>175</v>
      </c>
    </row>
    <row r="69" spans="1:4">
      <c r="A69" s="64" t="s">
        <v>975</v>
      </c>
      <c r="B69" s="64" t="s">
        <v>176</v>
      </c>
    </row>
    <row r="71" spans="1:4">
      <c r="A71" s="69" t="s">
        <v>961</v>
      </c>
      <c r="B71" s="69" t="s">
        <v>110</v>
      </c>
    </row>
    <row r="72" spans="1:4">
      <c r="A72" s="64" t="s">
        <v>975</v>
      </c>
      <c r="B72" s="72" t="s">
        <v>906</v>
      </c>
    </row>
    <row r="74" spans="1:4">
      <c r="A74" s="69" t="s">
        <v>966</v>
      </c>
      <c r="B74" s="69" t="s">
        <v>110</v>
      </c>
    </row>
    <row r="75" spans="1:4">
      <c r="A75" s="64" t="s">
        <v>975</v>
      </c>
      <c r="B75" s="72" t="s">
        <v>906</v>
      </c>
    </row>
    <row r="77" spans="1:4">
      <c r="A77" s="69" t="s">
        <v>969</v>
      </c>
      <c r="B77" s="69" t="s">
        <v>110</v>
      </c>
    </row>
    <row r="78" spans="1:4">
      <c r="A78" s="64" t="s">
        <v>975</v>
      </c>
      <c r="B78" s="72" t="s">
        <v>906</v>
      </c>
    </row>
    <row r="80" spans="1:4">
      <c r="A80" s="69" t="s">
        <v>907</v>
      </c>
      <c r="B80" s="69" t="s">
        <v>110</v>
      </c>
      <c r="C80" s="69" t="s">
        <v>260</v>
      </c>
      <c r="D80" s="69" t="s">
        <v>487</v>
      </c>
    </row>
    <row r="81" spans="1:4">
      <c r="A81" s="64" t="s">
        <v>975</v>
      </c>
      <c r="B81" s="72" t="s">
        <v>906</v>
      </c>
      <c r="C81" s="72" t="s">
        <v>865</v>
      </c>
      <c r="D81" s="64" t="s">
        <v>488</v>
      </c>
    </row>
    <row r="83" spans="1:4">
      <c r="A83" s="69" t="s">
        <v>908</v>
      </c>
      <c r="B83" s="69" t="s">
        <v>110</v>
      </c>
      <c r="C83" s="69" t="s">
        <v>260</v>
      </c>
      <c r="D83" s="69" t="s">
        <v>487</v>
      </c>
    </row>
    <row r="84" spans="1:4">
      <c r="A84" s="64" t="s">
        <v>975</v>
      </c>
      <c r="B84" s="72" t="s">
        <v>906</v>
      </c>
      <c r="C84" s="72" t="s">
        <v>886</v>
      </c>
      <c r="D84" s="64" t="s">
        <v>488</v>
      </c>
    </row>
  </sheetData>
  <phoneticPr fontId="19"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F95"/>
  <sheetViews>
    <sheetView showGridLines="0" zoomScaleNormal="100" workbookViewId="0">
      <pane ySplit="1" topLeftCell="A20" activePane="bottomLeft" state="frozen"/>
      <selection pane="bottomLeft" activeCell="D22" sqref="D22"/>
    </sheetView>
  </sheetViews>
  <sheetFormatPr defaultRowHeight="15"/>
  <cols>
    <col min="1" max="1" width="35" style="15" bestFit="1" customWidth="1"/>
    <col min="2" max="2" width="23.5703125" style="15" bestFit="1" customWidth="1"/>
    <col min="3" max="3" width="35" style="15" bestFit="1" customWidth="1"/>
    <col min="4" max="4" width="51.42578125" style="15" bestFit="1" customWidth="1"/>
    <col min="5" max="5" width="27.85546875" style="15" bestFit="1" customWidth="1"/>
    <col min="6" max="6" width="19.85546875" style="15" bestFit="1" customWidth="1"/>
    <col min="7" max="16384" width="9.140625" style="15"/>
  </cols>
  <sheetData>
    <row r="1" spans="1:6">
      <c r="A1" s="109" t="s">
        <v>976</v>
      </c>
      <c r="B1" s="109" t="s">
        <v>977</v>
      </c>
      <c r="C1" s="109" t="s">
        <v>648</v>
      </c>
      <c r="D1" s="109" t="s">
        <v>978</v>
      </c>
      <c r="E1" s="109" t="s">
        <v>979</v>
      </c>
      <c r="F1" s="109" t="s">
        <v>980</v>
      </c>
    </row>
    <row r="2" spans="1:6">
      <c r="A2" s="79" t="str" cm="1">
        <f t="array" ref="A2">IFERROR(
  INDEX('Section 1'!$B$3:$B$1000,
    MATCH(
      0,
      COUNTIF(A$1:$A1, 'Section 1'!$B$3:INDEX('Section 1'!$B:$B, COUNTA('Section 1'!$B$3:$B$1000) + 2)) +
      IF('Section 1'!$B$3:INDEX('Section 1'!$B:$B, COUNTA('Section 1'!$B$3:$B$1000) + 2) = "N/A", 1, 0),
    0)
  ),
"")</f>
        <v>Group Name</v>
      </c>
      <c r="B2" s="79" t="str">
        <f t="shared" ref="B2:B33" si="0">IF(A2&lt;&gt;"", IF(COUNTIF(C:C, A2)&gt;0, "Yes", "No"), "")</f>
        <v>Yes</v>
      </c>
      <c r="C2" s="79" t="s">
        <v>1</v>
      </c>
      <c r="D2" s="79" t="s">
        <v>0</v>
      </c>
      <c r="E2" s="79"/>
      <c r="F2" s="79" t="s">
        <v>1</v>
      </c>
    </row>
    <row r="3" spans="1:6">
      <c r="A3" s="79" t="str" cm="1">
        <f t="array" ref="A3">IFERROR(
  INDEX('Section 1'!$B$3:$B$1000,
    MATCH(
      0,
      COUNTIF(A$1:$A2, 'Section 1'!$B$3:INDEX('Section 1'!$B:$B, COUNTA('Section 1'!$B$3:$B$1000) + 2)) +
      IF('Section 1'!$B$3:INDEX('Section 1'!$B:$B, COUNTA('Section 1'!$B$3:$B$1000) + 2) = "N/A", 1, 0),
    0)
  ),
"")</f>
        <v>SSN</v>
      </c>
      <c r="B3" s="79" t="str">
        <f t="shared" si="0"/>
        <v>Yes</v>
      </c>
      <c r="C3" s="79" t="s">
        <v>56</v>
      </c>
      <c r="D3" s="79" t="s">
        <v>24</v>
      </c>
      <c r="E3" s="79"/>
      <c r="F3" s="79" t="s">
        <v>56</v>
      </c>
    </row>
    <row r="4" spans="1:6">
      <c r="A4" s="79" t="str" cm="1">
        <f t="array" ref="A4">IFERROR(
  INDEX('Section 1'!$B$3:$B$1000,
    MATCH(
      0,
      COUNTIF(A$1:$A3, 'Section 1'!$B$3:INDEX('Section 1'!$B:$B, COUNTA('Section 1'!$B$3:$B$1000) + 2)) +
      IF('Section 1'!$B$3:INDEX('Section 1'!$B:$B, COUNTA('Section 1'!$B$3:$B$1000) + 2) = "N/A", 1, 0),
    0)
  ),
"")</f>
        <v>Last Name</v>
      </c>
      <c r="B4" s="79" t="str">
        <f t="shared" si="0"/>
        <v>Yes</v>
      </c>
      <c r="C4" s="79" t="s">
        <v>31</v>
      </c>
      <c r="D4" s="79" t="s">
        <v>24</v>
      </c>
      <c r="E4" s="79"/>
      <c r="F4" s="79" t="s">
        <v>31</v>
      </c>
    </row>
    <row r="5" spans="1:6">
      <c r="A5" s="79" t="str" cm="1">
        <f t="array" ref="A5">IFERROR(
  INDEX('Section 1'!$B$3:$B$1000,
    MATCH(
      0,
      COUNTIF(A$1:$A4, 'Section 1'!$B$3:INDEX('Section 1'!$B:$B, COUNTA('Section 1'!$B$3:$B$1000) + 2)) +
      IF('Section 1'!$B$3:INDEX('Section 1'!$B:$B, COUNTA('Section 1'!$B$3:$B$1000) + 2) = "N/A", 1, 0),
    0)
  ),
"")</f>
        <v>First Name</v>
      </c>
      <c r="B5" s="79" t="str">
        <f t="shared" si="0"/>
        <v>Yes</v>
      </c>
      <c r="C5" s="79" t="s">
        <v>27</v>
      </c>
      <c r="D5" s="79" t="s">
        <v>24</v>
      </c>
      <c r="E5" s="79"/>
      <c r="F5" s="79" t="s">
        <v>27</v>
      </c>
    </row>
    <row r="6" spans="1:6">
      <c r="A6" s="79" t="str" cm="1">
        <f t="array" ref="A6">IFERROR(
  INDEX('Section 1'!$B$3:$B$1000,
    MATCH(
      0,
      COUNTIF(A$1:$A5, 'Section 1'!$B$3:INDEX('Section 1'!$B:$B, COUNTA('Section 1'!$B$3:$B$1000) + 2)) +
      IF('Section 1'!$B$3:INDEX('Section 1'!$B:$B, COUNTA('Section 1'!$B$3:$B$1000) + 2) = "N/A", 1, 0),
    0)
  ),
"")</f>
        <v>Enrollment Start Date - Medical</v>
      </c>
      <c r="B6" s="79" t="str">
        <f t="shared" si="0"/>
        <v>Yes</v>
      </c>
      <c r="C6" s="79" t="s">
        <v>498</v>
      </c>
      <c r="D6" s="79" t="s">
        <v>495</v>
      </c>
      <c r="E6" s="79" t="s">
        <v>496</v>
      </c>
      <c r="F6" s="79" t="s">
        <v>498</v>
      </c>
    </row>
    <row r="7" spans="1:6">
      <c r="A7" s="79" t="str" cm="1">
        <f t="array" ref="A7">IFERROR(
  INDEX('Section 1'!$B$3:$B$1000,
    MATCH(
      0,
      COUNTIF(A$1:$A6, 'Section 1'!$B$3:INDEX('Section 1'!$B:$B, COUNTA('Section 1'!$B$3:$B$1000) + 2)) +
      IF('Section 1'!$B$3:INDEX('Section 1'!$B:$B, COUNTA('Section 1'!$B$3:$B$1000) + 2) = "N/A", 1, 0),
    0)
  ),
"")</f>
        <v>Enrollment Start Date - Dental</v>
      </c>
      <c r="B7" s="79" t="str">
        <f t="shared" si="0"/>
        <v>Yes</v>
      </c>
      <c r="C7" s="79" t="s">
        <v>497</v>
      </c>
      <c r="D7" s="79" t="s">
        <v>495</v>
      </c>
      <c r="E7" s="79" t="s">
        <v>496</v>
      </c>
      <c r="F7" s="79" t="s">
        <v>497</v>
      </c>
    </row>
    <row r="8" spans="1:6">
      <c r="A8" s="79" t="str" cm="1">
        <f t="array" ref="A8">IFERROR(
  INDEX('Section 1'!$B$3:$B$1000,
    MATCH(
      0,
      COUNTIF(A$1:$A7, 'Section 1'!$B$3:INDEX('Section 1'!$B:$B, COUNTA('Section 1'!$B$3:$B$1000) + 2)) +
      IF('Section 1'!$B$3:INDEX('Section 1'!$B:$B, COUNTA('Section 1'!$B$3:$B$1000) + 2) = "N/A", 1, 0),
    0)
  ),
"")</f>
        <v>Carrier</v>
      </c>
      <c r="B8" s="79" t="str">
        <f t="shared" si="0"/>
        <v>Yes</v>
      </c>
      <c r="C8" s="79" t="s">
        <v>708</v>
      </c>
      <c r="D8" s="79" t="s">
        <v>495</v>
      </c>
      <c r="E8" s="79" t="s">
        <v>496</v>
      </c>
      <c r="F8" s="79" t="s">
        <v>509</v>
      </c>
    </row>
    <row r="9" spans="1:6">
      <c r="A9" s="79" t="str" cm="1">
        <f t="array" ref="A9">IFERROR(
  INDEX('Section 1'!$B$3:$B$1000,
    MATCH(
      0,
      COUNTIF(A$1:$A8, 'Section 1'!$B$3:INDEX('Section 1'!$B:$B, COUNTA('Section 1'!$B$3:$B$1000) + 2)) +
      IF('Section 1'!$B$3:INDEX('Section 1'!$B:$B, COUNTA('Section 1'!$B$3:$B$1000) + 2) = "N/A", 1, 0),
    0)
  ),
"")</f>
        <v>Plan Type</v>
      </c>
      <c r="B9" s="79" t="str">
        <f t="shared" si="0"/>
        <v>Yes</v>
      </c>
      <c r="C9" s="79" t="s">
        <v>717</v>
      </c>
      <c r="D9" s="79" t="s">
        <v>495</v>
      </c>
      <c r="E9" s="79" t="s">
        <v>496</v>
      </c>
      <c r="F9" s="79" t="s">
        <v>509</v>
      </c>
    </row>
    <row r="10" spans="1:6">
      <c r="A10" s="79" t="str" cm="1">
        <f t="array" ref="A10">IFERROR(
  INDEX('Section 1'!$B$3:$B$1000,
    MATCH(
      0,
      COUNTIF(A$1:$A9, 'Section 1'!$B$3:INDEX('Section 1'!$B:$B, COUNTA('Section 1'!$B$3:$B$1000) + 2)) +
      IF('Section 1'!$B$3:INDEX('Section 1'!$B:$B, COUNTA('Section 1'!$B$3:$B$1000) + 2) = "N/A", 1, 0),
    0)
  ),
"")</f>
        <v>Event Reason</v>
      </c>
      <c r="B10" s="79" t="str">
        <f t="shared" si="0"/>
        <v>Yes</v>
      </c>
      <c r="C10" s="79" t="s">
        <v>5</v>
      </c>
      <c r="D10" s="79" t="s">
        <v>0</v>
      </c>
      <c r="E10" s="79"/>
      <c r="F10" s="79" t="s">
        <v>5</v>
      </c>
    </row>
    <row r="11" spans="1:6">
      <c r="A11" s="79" t="str" cm="1">
        <f t="array" ref="A11">IFERROR(
  INDEX('Section 1'!$B$3:$B$1000,
    MATCH(
      0,
      COUNTIF(A$1:$A10, 'Section 1'!$B$3:INDEX('Section 1'!$B:$B, COUNTA('Section 1'!$B$3:$B$1000) + 2)) +
      IF('Section 1'!$B$3:INDEX('Section 1'!$B:$B, COUNTA('Section 1'!$B$3:$B$1000) + 2) = "N/A", 1, 0),
    0)
  ),
"")</f>
        <v>Changed On</v>
      </c>
      <c r="B11" s="79" t="str">
        <f t="shared" si="0"/>
        <v>Yes</v>
      </c>
      <c r="C11" s="79" t="s">
        <v>489</v>
      </c>
      <c r="D11" s="79" t="s">
        <v>0</v>
      </c>
      <c r="E11" s="79"/>
      <c r="F11" s="79" t="s">
        <v>7</v>
      </c>
    </row>
    <row r="12" spans="1:6">
      <c r="A12" s="79" t="str" cm="1">
        <f t="array" ref="A12">IFERROR(
  INDEX('Section 1'!$B$3:$B$1000,
    MATCH(
      0,
      COUNTIF(A$1:$A11, 'Section 1'!$B$3:INDEX('Section 1'!$B:$B, COUNTA('Section 1'!$B$3:$B$1000) + 2)) +
      IF('Section 1'!$B$3:INDEX('Section 1'!$B:$B, COUNTA('Section 1'!$B$3:$B$1000) + 2) = "N/A", 1, 0),
    0)
  ),
"")</f>
        <v>Middle</v>
      </c>
      <c r="B12" s="79" t="str">
        <f t="shared" si="0"/>
        <v>Yes</v>
      </c>
      <c r="C12" s="79" t="s">
        <v>29</v>
      </c>
      <c r="D12" s="79" t="s">
        <v>24</v>
      </c>
      <c r="E12" s="79"/>
      <c r="F12" s="79" t="s">
        <v>29</v>
      </c>
    </row>
    <row r="13" spans="1:6">
      <c r="A13" s="79" t="str" cm="1">
        <f t="array" ref="A13">IFERROR(
  INDEX('Section 1'!$B$3:$B$1000,
    MATCH(
      0,
      COUNTIF(A$1:$A12, 'Section 1'!$B$3:INDEX('Section 1'!$B:$B, COUNTA('Section 1'!$B$3:$B$1000) + 2)) +
      IF('Section 1'!$B$3:INDEX('Section 1'!$B:$B, COUNTA('Section 1'!$B$3:$B$1000) + 2) = "N/A", 1, 0),
    0)
  ),
"")</f>
        <v>Gender</v>
      </c>
      <c r="B13" s="79" t="str">
        <f t="shared" si="0"/>
        <v>Yes</v>
      </c>
      <c r="C13" s="79" t="s">
        <v>59</v>
      </c>
      <c r="D13" s="79" t="s">
        <v>24</v>
      </c>
      <c r="E13" s="79"/>
      <c r="F13" s="79" t="s">
        <v>59</v>
      </c>
    </row>
    <row r="14" spans="1:6">
      <c r="A14" s="79" t="str" cm="1">
        <f t="array" ref="A14">IFERROR(
  INDEX('Section 1'!$B$3:$B$1000,
    MATCH(
      0,
      COUNTIF(A$1:$A13, 'Section 1'!$B$3:INDEX('Section 1'!$B:$B, COUNTA('Section 1'!$B$3:$B$1000) + 2)) +
      IF('Section 1'!$B$3:INDEX('Section 1'!$B:$B, COUNTA('Section 1'!$B$3:$B$1000) + 2) = "N/A", 1, 0),
    0)
  ),
"")</f>
        <v>DOB</v>
      </c>
      <c r="B14" s="79" t="str">
        <f t="shared" si="0"/>
        <v>Yes</v>
      </c>
      <c r="C14" s="79" t="s">
        <v>53</v>
      </c>
      <c r="D14" s="79" t="s">
        <v>24</v>
      </c>
      <c r="E14" s="79"/>
      <c r="F14" s="79" t="s">
        <v>53</v>
      </c>
    </row>
    <row r="15" spans="1:6">
      <c r="A15" s="79" t="str" cm="1">
        <f t="array" ref="A15">IFERROR(
  INDEX('Section 1'!$B$3:$B$1000,
    MATCH(
      0,
      COUNTIF(A$1:$A14, 'Section 1'!$B$3:INDEX('Section 1'!$B:$B, COUNTA('Section 1'!$B$3:$B$1000) + 2)) +
      IF('Section 1'!$B$3:INDEX('Section 1'!$B:$B, COUNTA('Section 1'!$B$3:$B$1000) + 2) = "N/A", 1, 0),
    0)
  ),
"")</f>
        <v>Married</v>
      </c>
      <c r="B15" s="79" t="str">
        <f t="shared" si="0"/>
        <v>Yes</v>
      </c>
      <c r="C15" s="79" t="s">
        <v>61</v>
      </c>
      <c r="D15" s="79" t="s">
        <v>24</v>
      </c>
      <c r="E15" s="79"/>
      <c r="F15" s="79" t="s">
        <v>61</v>
      </c>
    </row>
    <row r="16" spans="1:6">
      <c r="A16" s="79" t="str" cm="1">
        <f t="array" ref="A16">IFERROR(
  INDEX('Section 1'!$B$3:$B$1000,
    MATCH(
      0,
      COUNTIF(A$1:$A15, 'Section 1'!$B$3:INDEX('Section 1'!$B:$B, COUNTA('Section 1'!$B$3:$B$1000) + 2)) +
      IF('Section 1'!$B$3:INDEX('Section 1'!$B:$B, COUNTA('Section 1'!$B$3:$B$1000) + 2) = "N/A", 1, 0),
    0)
  ),
"")</f>
        <v>Hire_Date</v>
      </c>
      <c r="B16" s="79" t="str">
        <f t="shared" si="0"/>
        <v>Yes</v>
      </c>
      <c r="C16" s="79" t="s">
        <v>48</v>
      </c>
      <c r="D16" s="79" t="s">
        <v>24</v>
      </c>
      <c r="E16" s="79"/>
      <c r="F16" s="79" t="s">
        <v>48</v>
      </c>
    </row>
    <row r="17" spans="1:6">
      <c r="A17" s="79" t="str" cm="1">
        <f t="array" ref="A17">IFERROR(
  INDEX('Section 1'!$B$3:$B$1000,
    MATCH(
      0,
      COUNTIF(A$1:$A16, 'Section 1'!$B$3:INDEX('Section 1'!$B:$B, COUNTA('Section 1'!$B$3:$B$1000) + 2)) +
      IF('Section 1'!$B$3:INDEX('Section 1'!$B:$B, COUNTA('Section 1'!$B$3:$B$1000) + 2) = "N/A", 1, 0),
    0)
  ),
"")</f>
        <v>Age</v>
      </c>
      <c r="B17" s="79" t="str">
        <f t="shared" si="0"/>
        <v>Yes</v>
      </c>
      <c r="C17" s="80" t="s">
        <v>55</v>
      </c>
      <c r="D17" s="79" t="s">
        <v>24</v>
      </c>
      <c r="E17" s="79"/>
      <c r="F17" s="79" t="s">
        <v>55</v>
      </c>
    </row>
    <row r="18" spans="1:6">
      <c r="A18" s="79" t="str" cm="1">
        <f t="array" ref="A18">IFERROR(
  INDEX('Section 1'!$B$3:$B$1000,
    MATCH(
      0,
      COUNTIF(A$1:$A17, 'Section 1'!$B$3:INDEX('Section 1'!$B:$B, COUNTA('Section 1'!$B$3:$B$1000) + 2)) +
      IF('Section 1'!$B$3:INDEX('Section 1'!$B:$B, COUNTA('Section 1'!$B$3:$B$1000) + 2) = "N/A", 1, 0),
    0)
  ),
"")</f>
        <v>Address Type</v>
      </c>
      <c r="B18" s="79" t="str">
        <f t="shared" si="0"/>
        <v>Yes</v>
      </c>
      <c r="C18" s="80" t="s">
        <v>175</v>
      </c>
      <c r="D18" s="79" t="s">
        <v>173</v>
      </c>
      <c r="E18" s="79"/>
      <c r="F18" s="79" t="s">
        <v>175</v>
      </c>
    </row>
    <row r="19" spans="1:6">
      <c r="A19" s="79" t="str" cm="1">
        <f t="array" ref="A19">IFERROR(
  INDEX('Section 1'!$B$3:$B$1000,
    MATCH(
      0,
      COUNTIF(A$1:$A18, 'Section 1'!$B$3:INDEX('Section 1'!$B:$B, COUNTA('Section 1'!$B$3:$B$1000) + 2)) +
      IF('Section 1'!$B$3:INDEX('Section 1'!$B:$B, COUNTA('Section 1'!$B$3:$B$1000) + 2) = "N/A", 1, 0),
    0)
  ),
"")</f>
        <v>Country - Home</v>
      </c>
      <c r="B19" s="79" t="str">
        <f t="shared" si="0"/>
        <v>Yes</v>
      </c>
      <c r="C19" s="80" t="s">
        <v>812</v>
      </c>
      <c r="D19" s="79" t="s">
        <v>173</v>
      </c>
      <c r="E19" s="79"/>
      <c r="F19" s="79" t="s">
        <v>182</v>
      </c>
    </row>
    <row r="20" spans="1:6">
      <c r="A20" s="79" t="str" cm="1">
        <f t="array" ref="A20">IFERROR(
  INDEX('Section 1'!$B$3:$B$1000,
    MATCH(
      0,
      COUNTIF(A$1:$A19, 'Section 1'!$B$3:INDEX('Section 1'!$B:$B, COUNTA('Section 1'!$B$3:$B$1000) + 2)) +
      IF('Section 1'!$B$3:INDEX('Section 1'!$B:$B, COUNTA('Section 1'!$B$3:$B$1000) + 2) = "N/A", 1, 0),
    0)
  ),
"")</f>
        <v>Address1 - Home</v>
      </c>
      <c r="B20" s="79" t="str">
        <f t="shared" si="0"/>
        <v>Yes</v>
      </c>
      <c r="C20" s="80" t="s">
        <v>817</v>
      </c>
      <c r="D20" s="79" t="s">
        <v>173</v>
      </c>
      <c r="E20" s="79"/>
      <c r="F20" s="79" t="s">
        <v>139</v>
      </c>
    </row>
    <row r="21" spans="1:6">
      <c r="A21" s="79" t="str" cm="1">
        <f t="array" ref="A21">IFERROR(
  INDEX('Section 1'!$B$3:$B$1000,
    MATCH(
      0,
      COUNTIF(A$1:$A20, 'Section 1'!$B$3:INDEX('Section 1'!$B:$B, COUNTA('Section 1'!$B$3:$B$1000) + 2)) +
      IF('Section 1'!$B$3:INDEX('Section 1'!$B:$B, COUNTA('Section 1'!$B$3:$B$1000) + 2) = "N/A", 1, 0),
    0)
  ),
"")</f>
        <v>Address2 - Home</v>
      </c>
      <c r="B21" s="79" t="str">
        <f t="shared" si="0"/>
        <v>Yes</v>
      </c>
      <c r="C21" s="80" t="s">
        <v>818</v>
      </c>
      <c r="D21" s="79" t="s">
        <v>173</v>
      </c>
      <c r="E21" s="79"/>
      <c r="F21" s="79" t="s">
        <v>141</v>
      </c>
    </row>
    <row r="22" spans="1:6">
      <c r="A22" s="79" t="str" cm="1">
        <f t="array" ref="A22">IFERROR(
  INDEX('Section 1'!$B$3:$B$1000,
    MATCH(
      0,
      COUNTIF(A$1:$A21, 'Section 1'!$B$3:INDEX('Section 1'!$B:$B, COUNTA('Section 1'!$B$3:$B$1000) + 2)) +
      IF('Section 1'!$B$3:INDEX('Section 1'!$B:$B, COUNTA('Section 1'!$B$3:$B$1000) + 2) = "N/A", 1, 0),
    0)
  ),
"")</f>
        <v>City - Home</v>
      </c>
      <c r="B22" s="79" t="str">
        <f t="shared" si="0"/>
        <v>Yes</v>
      </c>
      <c r="C22" s="80" t="s">
        <v>821</v>
      </c>
      <c r="D22" s="79" t="s">
        <v>173</v>
      </c>
      <c r="E22" s="79"/>
      <c r="F22" s="79" t="s">
        <v>142</v>
      </c>
    </row>
    <row r="23" spans="1:6">
      <c r="A23" s="79" t="str" cm="1">
        <f t="array" ref="A23">IFERROR(
  INDEX('Section 1'!$B$3:$B$1000,
    MATCH(
      0,
      COUNTIF(A$1:$A22, 'Section 1'!$B$3:INDEX('Section 1'!$B:$B, COUNTA('Section 1'!$B$3:$B$1000) + 2)) +
      IF('Section 1'!$B$3:INDEX('Section 1'!$B:$B, COUNTA('Section 1'!$B$3:$B$1000) + 2) = "N/A", 1, 0),
    0)
  ),
"")</f>
        <v>State - Home</v>
      </c>
      <c r="B23" s="79" t="str">
        <f t="shared" si="0"/>
        <v>Yes</v>
      </c>
      <c r="C23" s="80" t="s">
        <v>824</v>
      </c>
      <c r="D23" s="79" t="s">
        <v>173</v>
      </c>
      <c r="E23" s="79"/>
      <c r="F23" s="79" t="s">
        <v>144</v>
      </c>
    </row>
    <row r="24" spans="1:6">
      <c r="A24" s="79" t="str" cm="1">
        <f t="array" ref="A24">IFERROR(
  INDEX('Section 1'!$B$3:$B$1000,
    MATCH(
      0,
      COUNTIF(A$1:$A23, 'Section 1'!$B$3:INDEX('Section 1'!$B:$B, COUNTA('Section 1'!$B$3:$B$1000) + 2)) +
      IF('Section 1'!$B$3:INDEX('Section 1'!$B:$B, COUNTA('Section 1'!$B$3:$B$1000) + 2) = "N/A", 1, 0),
    0)
  ),
"")</f>
        <v>Zip - Home</v>
      </c>
      <c r="B24" s="79" t="str">
        <f t="shared" si="0"/>
        <v>Yes</v>
      </c>
      <c r="C24" s="80" t="s">
        <v>827</v>
      </c>
      <c r="D24" s="79" t="s">
        <v>173</v>
      </c>
      <c r="E24" s="79"/>
      <c r="F24" s="79" t="s">
        <v>147</v>
      </c>
    </row>
    <row r="25" spans="1:6">
      <c r="A25" s="79" t="str" cm="1">
        <f t="array" ref="A25">IFERROR(
  INDEX('Section 1'!$B$3:$B$1000,
    MATCH(
      0,
      COUNTIF(A$1:$A24, 'Section 1'!$B$3:INDEX('Section 1'!$B:$B, COUNTA('Section 1'!$B$3:$B$1000) + 2)) +
      IF('Section 1'!$B$3:INDEX('Section 1'!$B:$B, COUNTA('Section 1'!$B$3:$B$1000) + 2) = "N/A", 1, 0),
    0)
  ),
"")</f>
        <v>Home Phone</v>
      </c>
      <c r="B25" s="79" t="str">
        <f t="shared" si="0"/>
        <v>Yes</v>
      </c>
      <c r="C25" s="80" t="s">
        <v>187</v>
      </c>
      <c r="D25" s="79" t="s">
        <v>186</v>
      </c>
      <c r="E25" s="79"/>
      <c r="F25" s="79" t="s">
        <v>187</v>
      </c>
    </row>
    <row r="26" spans="1:6">
      <c r="A26" s="79" t="str" cm="1">
        <f t="array" ref="A26">IFERROR(
  INDEX('Section 1'!$B$3:$B$1000,
    MATCH(
      0,
      COUNTIF(A$1:$A25, 'Section 1'!$B$3:INDEX('Section 1'!$B:$B, COUNTA('Section 1'!$B$3:$B$1000) + 2)) +
      IF('Section 1'!$B$3:INDEX('Section 1'!$B:$B, COUNTA('Section 1'!$B$3:$B$1000) + 2) = "N/A", 1, 0),
    0)
  ),
"")</f>
        <v>Mobile Phone</v>
      </c>
      <c r="B26" s="79" t="str">
        <f t="shared" si="0"/>
        <v>Yes</v>
      </c>
      <c r="C26" s="80" t="s">
        <v>189</v>
      </c>
      <c r="D26" s="79" t="s">
        <v>186</v>
      </c>
      <c r="E26" s="79"/>
      <c r="F26" s="79" t="s">
        <v>189</v>
      </c>
    </row>
    <row r="27" spans="1:6">
      <c r="A27" s="79" t="str" cm="1">
        <f t="array" ref="A27">IFERROR(
  INDEX('Section 1'!$B$3:$B$1000,
    MATCH(
      0,
      COUNTIF(A$1:$A26, 'Section 1'!$B$3:INDEX('Section 1'!$B:$B, COUNTA('Section 1'!$B$3:$B$1000) + 2)) +
      IF('Section 1'!$B$3:INDEX('Section 1'!$B:$B, COUNTA('Section 1'!$B$3:$B$1000) + 2) = "N/A", 1, 0),
    0)
  ),
"")</f>
        <v>Work Phone</v>
      </c>
      <c r="B27" s="79" t="str">
        <f t="shared" si="0"/>
        <v>Yes</v>
      </c>
      <c r="C27" s="80" t="s">
        <v>191</v>
      </c>
      <c r="D27" s="79" t="s">
        <v>186</v>
      </c>
      <c r="E27" s="79"/>
      <c r="F27" s="79" t="s">
        <v>191</v>
      </c>
    </row>
    <row r="28" spans="1:6">
      <c r="A28" s="79" t="str" cm="1">
        <f t="array" ref="A28">IFERROR(
  INDEX('Section 1'!$B$3:$B$1000,
    MATCH(
      0,
      COUNTIF(A$1:$A27, 'Section 1'!$B$3:INDEX('Section 1'!$B:$B, COUNTA('Section 1'!$B$3:$B$1000) + 2)) +
      IF('Section 1'!$B$3:INDEX('Section 1'!$B:$B, COUNTA('Section 1'!$B$3:$B$1000) + 2) = "N/A", 1, 0),
    0)
  ),
"")</f>
        <v>Primary Email Type</v>
      </c>
      <c r="B28" s="79" t="str">
        <f t="shared" si="0"/>
        <v>Yes</v>
      </c>
      <c r="C28" s="80" t="s">
        <v>197</v>
      </c>
      <c r="D28" s="79" t="s">
        <v>186</v>
      </c>
      <c r="E28" s="79"/>
      <c r="F28" s="79" t="s">
        <v>197</v>
      </c>
    </row>
    <row r="29" spans="1:6">
      <c r="A29" s="79" t="str" cm="1">
        <f t="array" ref="A29">IFERROR(
  INDEX('Section 1'!$B$3:$B$1000,
    MATCH(
      0,
      COUNTIF(A$1:$A28, 'Section 1'!$B$3:INDEX('Section 1'!$B:$B, COUNTA('Section 1'!$B$3:$B$1000) + 2)) +
      IF('Section 1'!$B$3:INDEX('Section 1'!$B:$B, COUNTA('Section 1'!$B$3:$B$1000) + 2) = "N/A", 1, 0),
    0)
  ),
"")</f>
        <v>Personal Email</v>
      </c>
      <c r="B29" s="79" t="str">
        <f t="shared" si="0"/>
        <v>Yes</v>
      </c>
      <c r="C29" s="80" t="s">
        <v>195</v>
      </c>
      <c r="D29" s="79" t="s">
        <v>186</v>
      </c>
      <c r="E29" s="79"/>
      <c r="F29" s="79" t="s">
        <v>195</v>
      </c>
    </row>
    <row r="30" spans="1:6">
      <c r="A30" s="79" t="str" cm="1">
        <f t="array" ref="A30">IFERROR(
  INDEX('Section 1'!$B$3:$B$1000,
    MATCH(
      0,
      COUNTIF(A$1:$A29, 'Section 1'!$B$3:INDEX('Section 1'!$B:$B, COUNTA('Section 1'!$B$3:$B$1000) + 2)) +
      IF('Section 1'!$B$3:INDEX('Section 1'!$B:$B, COUNTA('Section 1'!$B$3:$B$1000) + 2) = "N/A", 1, 0),
    0)
  ),
"")</f>
        <v>Work Email</v>
      </c>
      <c r="B30" s="79" t="str">
        <f t="shared" si="0"/>
        <v>Yes</v>
      </c>
      <c r="C30" s="80" t="s">
        <v>193</v>
      </c>
      <c r="D30" s="79" t="s">
        <v>186</v>
      </c>
      <c r="E30" s="79"/>
      <c r="F30" s="79" t="s">
        <v>193</v>
      </c>
    </row>
    <row r="31" spans="1:6">
      <c r="A31" s="79" t="str" cm="1">
        <f t="array" ref="A31">IFERROR(
  INDEX('Section 1'!$B$3:$B$1000,
    MATCH(
      0,
      COUNTIF(A$1:$A30, 'Section 1'!$B$3:INDEX('Section 1'!$B:$B, COUNTA('Section 1'!$B$3:$B$1000) + 2)) +
      IF('Section 1'!$B$3:INDEX('Section 1'!$B:$B, COUNTA('Section 1'!$B$3:$B$1000) + 2) = "N/A", 1, 0),
    0)
  ),
"")</f>
        <v>Plan Name - Medical</v>
      </c>
      <c r="B31" s="79" t="str">
        <f t="shared" si="0"/>
        <v>Yes</v>
      </c>
      <c r="C31" s="80" t="s">
        <v>865</v>
      </c>
      <c r="D31" s="79" t="s">
        <v>495</v>
      </c>
      <c r="E31" s="79" t="s">
        <v>496</v>
      </c>
      <c r="F31" s="79" t="s">
        <v>502</v>
      </c>
    </row>
    <row r="32" spans="1:6">
      <c r="A32" s="79" t="str" cm="1">
        <f t="array" ref="A32">IFERROR(
  INDEX('Section 1'!$B$3:$B$1000,
    MATCH(
      0,
      COUNTIF(A$1:$A31, 'Section 1'!$B$3:INDEX('Section 1'!$B:$B, COUNTA('Section 1'!$B$3:$B$1000) + 2)) +
      IF('Section 1'!$B$3:INDEX('Section 1'!$B:$B, COUNTA('Section 1'!$B$3:$B$1000) + 2) = "N/A", 1, 0),
    0)
  ),
"")</f>
        <v>Coverage Level - Medical</v>
      </c>
      <c r="B32" s="79" t="str">
        <f t="shared" si="0"/>
        <v>Yes</v>
      </c>
      <c r="C32" s="79" t="s">
        <v>872</v>
      </c>
      <c r="D32" s="79" t="s">
        <v>495</v>
      </c>
      <c r="E32" s="79" t="s">
        <v>496</v>
      </c>
      <c r="F32" s="79" t="s">
        <v>982</v>
      </c>
    </row>
    <row r="33" spans="1:6">
      <c r="A33" s="79" t="str" cm="1">
        <f t="array" ref="A33">IFERROR(
  INDEX('Section 1'!$B$3:$B$1000,
    MATCH(
      0,
      COUNTIF(A$1:$A32, 'Section 1'!$B$3:INDEX('Section 1'!$B:$B, COUNTA('Section 1'!$B$3:$B$1000) + 2)) +
      IF('Section 1'!$B$3:INDEX('Section 1'!$B:$B, COUNTA('Section 1'!$B$3:$B$1000) + 2) = "N/A", 1, 0),
    0)
  ),
"")</f>
        <v>Plan Name - Dental</v>
      </c>
      <c r="B33" s="79" t="str">
        <f t="shared" si="0"/>
        <v>Yes</v>
      </c>
      <c r="C33" s="79" t="s">
        <v>886</v>
      </c>
      <c r="D33" s="79" t="s">
        <v>495</v>
      </c>
      <c r="E33" s="79" t="s">
        <v>496</v>
      </c>
      <c r="F33" s="79" t="s">
        <v>981</v>
      </c>
    </row>
    <row r="34" spans="1:6">
      <c r="A34" s="79" t="str" cm="1">
        <f t="array" ref="A34">IFERROR(
  INDEX('Section 1'!$B$3:$B$1000,
    MATCH(
      0,
      COUNTIF(A$1:$A33, 'Section 1'!$B$3:INDEX('Section 1'!$B:$B, COUNTA('Section 1'!$B$3:$B$1000) + 2)) +
      IF('Section 1'!$B$3:INDEX('Section 1'!$B:$B, COUNTA('Section 1'!$B$3:$B$1000) + 2) = "N/A", 1, 0),
    0)
  ),
"")</f>
        <v>Coverage Level - Dental</v>
      </c>
      <c r="B34" s="79" t="str">
        <f t="shared" ref="B34:B65" si="1">IF(A34&lt;&gt;"", IF(COUNTIF(C:C, A34)&gt;0, "Yes", "No"), "")</f>
        <v>Yes</v>
      </c>
      <c r="C34" s="79" t="s">
        <v>892</v>
      </c>
      <c r="D34" s="79" t="s">
        <v>495</v>
      </c>
      <c r="E34" s="79" t="s">
        <v>496</v>
      </c>
      <c r="F34" s="79" t="s">
        <v>982</v>
      </c>
    </row>
    <row r="35" spans="1:6">
      <c r="A35" s="79" t="str" cm="1">
        <f t="array" ref="A35">IFERROR(
  INDEX('Section 1'!$B$3:$B$1000,
    MATCH(
      0,
      COUNTIF(A$1:$A34, 'Section 1'!$B$3:INDEX('Section 1'!$B:$B, COUNTA('Section 1'!$B$3:$B$1000) + 2)) +
      IF('Section 1'!$B$3:INDEX('Section 1'!$B:$B, COUNTA('Section 1'!$B$3:$B$1000) + 2) = "N/A", 1, 0),
    0)
  ),
"")</f>
        <v>Last Name - Dependent</v>
      </c>
      <c r="B35" s="79" t="str">
        <f t="shared" si="1"/>
        <v>Yes</v>
      </c>
      <c r="C35" s="79" t="s">
        <v>260</v>
      </c>
      <c r="D35" s="79" t="s">
        <v>483</v>
      </c>
      <c r="E35" s="79"/>
      <c r="F35" s="79" t="s">
        <v>260</v>
      </c>
    </row>
    <row r="36" spans="1:6">
      <c r="A36" s="79" t="str" cm="1">
        <f t="array" ref="A36">IFERROR(
  INDEX('Section 1'!$B$3:$B$1000,
    MATCH(
      0,
      COUNTIF(A$1:$A35, 'Section 1'!$B$3:INDEX('Section 1'!$B:$B, COUNTA('Section 1'!$B$3:$B$1000) + 2)) +
      IF('Section 1'!$B$3:INDEX('Section 1'!$B:$B, COUNTA('Section 1'!$B$3:$B$1000) + 2) = "N/A", 1, 0),
    0)
  ),
"")</f>
        <v>Plan Title</v>
      </c>
      <c r="B36" s="79" t="str">
        <f t="shared" si="1"/>
        <v>Yes</v>
      </c>
      <c r="C36" s="79" t="s">
        <v>487</v>
      </c>
      <c r="D36" s="79" t="s">
        <v>483</v>
      </c>
      <c r="E36" s="79"/>
      <c r="F36" s="79" t="s">
        <v>487</v>
      </c>
    </row>
    <row r="37" spans="1:6">
      <c r="A37" s="79" t="str" cm="1">
        <f t="array" ref="A37">IFERROR(
  INDEX('Section 1'!$B$3:$B$1000,
    MATCH(
      0,
      COUNTIF(A$1:$A36, 'Section 1'!$B$3:INDEX('Section 1'!$B:$B, COUNTA('Section 1'!$B$3:$B$1000) + 2)) +
      IF('Section 1'!$B$3:INDEX('Section 1'!$B:$B, COUNTA('Section 1'!$B$3:$B$1000) + 2) = "N/A", 1, 0),
    0)
  ),
"")</f>
        <v>Field</v>
      </c>
      <c r="B37" s="79" t="str">
        <f t="shared" si="1"/>
        <v>Yes</v>
      </c>
      <c r="C37" s="79" t="s">
        <v>906</v>
      </c>
      <c r="D37" s="79" t="s">
        <v>483</v>
      </c>
      <c r="E37" s="79"/>
      <c r="F37" s="79" t="s">
        <v>493</v>
      </c>
    </row>
    <row r="38" spans="1:6">
      <c r="A38" s="79" t="str" cm="1">
        <f t="array" ref="A38">IFERROR(
  INDEX('Section 1'!$B$3:$B$1000,
    MATCH(
      0,
      COUNTIF(A$1:$A37, 'Section 1'!$B$3:INDEX('Section 1'!$B:$B, COUNTA('Section 1'!$B$3:$B$1000) + 2)) +
      IF('Section 1'!$B$3:INDEX('Section 1'!$B:$B, COUNTA('Section 1'!$B$3:$B$1000) + 2) = "N/A", 1, 0),
    0)
  ),
"")</f>
        <v>Dependent ID</v>
      </c>
      <c r="B38" s="79" t="str">
        <f t="shared" si="1"/>
        <v>Yes</v>
      </c>
      <c r="C38" s="80" t="s">
        <v>110</v>
      </c>
      <c r="D38" s="79" t="s">
        <v>101</v>
      </c>
      <c r="E38" s="79"/>
      <c r="F38" s="79" t="s">
        <v>110</v>
      </c>
    </row>
    <row r="39" spans="1:6">
      <c r="A39" s="79" t="str" cm="1">
        <f t="array" ref="A39">IFERROR(
  INDEX('Section 1'!$B$3:$B$1000,
    MATCH(
      0,
      COUNTIF(A$1:$A38, 'Section 1'!$B$3:INDEX('Section 1'!$B:$B, COUNTA('Section 1'!$B$3:$B$1000) + 2)) +
      IF('Section 1'!$B$3:INDEX('Section 1'!$B:$B, COUNTA('Section 1'!$B$3:$B$1000) + 2) = "N/A", 1, 0),
    0)
  ),
"")</f>
        <v>Dep Id</v>
      </c>
      <c r="B39" s="79" t="str">
        <f t="shared" si="1"/>
        <v>Yes</v>
      </c>
      <c r="C39" s="80" t="s">
        <v>902</v>
      </c>
      <c r="D39" s="80" t="s">
        <v>101</v>
      </c>
      <c r="E39" s="79"/>
      <c r="F39" s="79" t="s">
        <v>31</v>
      </c>
    </row>
    <row r="40" spans="1:6">
      <c r="A40" s="79" t="str" cm="1">
        <f t="array" ref="A40">IFERROR(
  INDEX('Section 1'!$B$3:$B$1000,
    MATCH(
      0,
      COUNTIF(A$1:$A39, 'Section 1'!$B$3:INDEX('Section 1'!$B:$B, COUNTA('Section 1'!$B$3:$B$1000) + 2)) +
      IF('Section 1'!$B$3:INDEX('Section 1'!$B:$B, COUNTA('Section 1'!$B$3:$B$1000) + 2) = "N/A", 1, 0),
    0)
  ),
"")</f>
        <v>Plan Name - Medical - Dependent</v>
      </c>
      <c r="B40" s="79" t="str">
        <f t="shared" si="1"/>
        <v>Yes</v>
      </c>
      <c r="C40" s="80" t="s">
        <v>911</v>
      </c>
      <c r="D40" s="80" t="s">
        <v>101</v>
      </c>
      <c r="E40" s="79"/>
      <c r="F40" s="79" t="s">
        <v>27</v>
      </c>
    </row>
    <row r="41" spans="1:6">
      <c r="A41" s="79" t="str" cm="1">
        <f t="array" ref="A41">IFERROR(
  INDEX('Section 1'!$B$3:$B$1000,
    MATCH(
      0,
      COUNTIF(A$1:$A40, 'Section 1'!$B$3:INDEX('Section 1'!$B:$B, COUNTA('Section 1'!$B$3:$B$1000) + 2)) +
      IF('Section 1'!$B$3:INDEX('Section 1'!$B:$B, COUNTA('Section 1'!$B$3:$B$1000) + 2) = "N/A", 1, 0),
    0)
  ),
"")</f>
        <v>Plan Name - Dental - Dependent</v>
      </c>
      <c r="B41" s="79" t="str">
        <f t="shared" si="1"/>
        <v>Yes</v>
      </c>
      <c r="C41" s="80" t="s">
        <v>914</v>
      </c>
      <c r="D41" s="80" t="s">
        <v>101</v>
      </c>
      <c r="E41" s="79"/>
      <c r="F41" s="79" t="s">
        <v>29</v>
      </c>
    </row>
    <row r="42" spans="1:6">
      <c r="A42" s="79" t="str" cm="1">
        <f t="array" ref="A42">IFERROR(
  INDEX('Section 1'!$B$3:$B$1000,
    MATCH(
      0,
      COUNTIF(A$1:$A41, 'Section 1'!$B$3:INDEX('Section 1'!$B:$B, COUNTA('Section 1'!$B$3:$B$1000) + 2)) +
      IF('Section 1'!$B$3:INDEX('Section 1'!$B:$B, COUNTA('Section 1'!$B$3:$B$1000) + 2) = "N/A", 1, 0),
    0)
  ),
"")</f>
        <v>First Name - Dependent</v>
      </c>
      <c r="B42" s="79" t="str">
        <f t="shared" si="1"/>
        <v>Yes</v>
      </c>
      <c r="C42" s="79" t="s">
        <v>917</v>
      </c>
      <c r="D42" s="79" t="s">
        <v>101</v>
      </c>
      <c r="E42" s="79"/>
      <c r="F42" s="79" t="s">
        <v>112</v>
      </c>
    </row>
    <row r="43" spans="1:6">
      <c r="A43" s="79" t="str" cm="1">
        <f t="array" ref="A43">IFERROR(
  INDEX('Section 1'!$B$3:$B$1000,
    MATCH(
      0,
      COUNTIF(A$1:$A42, 'Section 1'!$B$3:INDEX('Section 1'!$B:$B, COUNTA('Section 1'!$B$3:$B$1000) + 2)) +
      IF('Section 1'!$B$3:INDEX('Section 1'!$B:$B, COUNTA('Section 1'!$B$3:$B$1000) + 2) = "N/A", 1, 0),
    0)
  ),
"")</f>
        <v>Middle - Dependent</v>
      </c>
      <c r="B43" s="79" t="str">
        <f t="shared" si="1"/>
        <v>Yes</v>
      </c>
      <c r="C43" s="79" t="s">
        <v>920</v>
      </c>
      <c r="D43" s="79" t="s">
        <v>101</v>
      </c>
      <c r="E43" s="79"/>
      <c r="F43" s="79" t="s">
        <v>164</v>
      </c>
    </row>
    <row r="44" spans="1:6">
      <c r="A44" s="79" t="str" cm="1">
        <f t="array" ref="A44">IFERROR(
  INDEX('Section 1'!$B$3:$B$1000,
    MATCH(
      0,
      COUNTIF(A$1:$A43, 'Section 1'!$B$3:INDEX('Section 1'!$B:$B, COUNTA('Section 1'!$B$3:$B$1000) + 2)) +
      IF('Section 1'!$B$3:INDEX('Section 1'!$B:$B, COUNTA('Section 1'!$B$3:$B$1000) + 2) = "N/A", 1, 0),
    0)
  ),
"")</f>
        <v>Relationship - Dependent</v>
      </c>
      <c r="B44" s="79" t="str">
        <f t="shared" si="1"/>
        <v>Yes</v>
      </c>
      <c r="C44" s="79" t="s">
        <v>921</v>
      </c>
      <c r="D44" s="79" t="s">
        <v>101</v>
      </c>
      <c r="E44" s="79"/>
      <c r="F44" s="79" t="s">
        <v>77</v>
      </c>
    </row>
    <row r="45" spans="1:6">
      <c r="A45" s="79" t="str" cm="1">
        <f t="array" ref="A45">IFERROR(
  INDEX('Section 1'!$B$3:$B$1000,
    MATCH(
      0,
      COUNTIF(A$1:$A44, 'Section 1'!$B$3:INDEX('Section 1'!$B:$B, COUNTA('Section 1'!$B$3:$B$1000) + 2)) +
      IF('Section 1'!$B$3:INDEX('Section 1'!$B:$B, COUNTA('Section 1'!$B$3:$B$1000) + 2) = "N/A", 1, 0),
    0)
  ),
"")</f>
        <v>Student - Dependent</v>
      </c>
      <c r="B45" s="79" t="str">
        <f t="shared" si="1"/>
        <v>Yes</v>
      </c>
      <c r="C45" s="79" t="s">
        <v>922</v>
      </c>
      <c r="D45" s="79" t="s">
        <v>101</v>
      </c>
      <c r="E45" s="79"/>
      <c r="F45" s="79" t="s">
        <v>59</v>
      </c>
    </row>
    <row r="46" spans="1:6">
      <c r="A46" s="79" t="str" cm="1">
        <f t="array" ref="A46">IFERROR(
  INDEX('Section 1'!$B$3:$B$1000,
    MATCH(
      0,
      COUNTIF(A$1:$A45, 'Section 1'!$B$3:INDEX('Section 1'!$B:$B, COUNTA('Section 1'!$B$3:$B$1000) + 2)) +
      IF('Section 1'!$B$3:INDEX('Section 1'!$B:$B, COUNTA('Section 1'!$B$3:$B$1000) + 2) = "N/A", 1, 0),
    0)
  ),
"")</f>
        <v>Disabled - Dependent</v>
      </c>
      <c r="B46" s="79" t="str">
        <f t="shared" si="1"/>
        <v>Yes</v>
      </c>
      <c r="C46" s="79" t="s">
        <v>927</v>
      </c>
      <c r="D46" s="79" t="s">
        <v>101</v>
      </c>
      <c r="E46" s="79"/>
      <c r="F46" s="79" t="s">
        <v>53</v>
      </c>
    </row>
    <row r="47" spans="1:6">
      <c r="A47" s="79" t="str" cm="1">
        <f t="array" ref="A47">IFERROR(
  INDEX('Section 1'!$B$3:$B$1000,
    MATCH(
      0,
      COUNTIF(A$1:$A46, 'Section 1'!$B$3:INDEX('Section 1'!$B:$B, COUNTA('Section 1'!$B$3:$B$1000) + 2)) +
      IF('Section 1'!$B$3:INDEX('Section 1'!$B:$B, COUNTA('Section 1'!$B$3:$B$1000) + 2) = "N/A", 1, 0),
    0)
  ),
"")</f>
        <v>Gender - Dependent</v>
      </c>
      <c r="B47" s="79" t="str">
        <f t="shared" si="1"/>
        <v>Yes</v>
      </c>
      <c r="C47" s="79" t="s">
        <v>935</v>
      </c>
      <c r="D47" s="79" t="s">
        <v>101</v>
      </c>
      <c r="E47" s="79"/>
      <c r="F47" s="79" t="s">
        <v>56</v>
      </c>
    </row>
    <row r="48" spans="1:6">
      <c r="A48" s="79" t="str" cm="1">
        <f t="array" ref="A48">IFERROR(
  INDEX('Section 1'!$B$3:$B$1000,
    MATCH(
      0,
      COUNTIF(A$1:$A47, 'Section 1'!$B$3:INDEX('Section 1'!$B:$B, COUNTA('Section 1'!$B$3:$B$1000) + 2)) +
      IF('Section 1'!$B$3:INDEX('Section 1'!$B:$B, COUNTA('Section 1'!$B$3:$B$1000) + 2) = "N/A", 1, 0),
    0)
  ),
"")</f>
        <v>DOB - Dependent</v>
      </c>
      <c r="B48" s="79" t="str">
        <f t="shared" si="1"/>
        <v>Yes</v>
      </c>
      <c r="C48" s="79" t="s">
        <v>907</v>
      </c>
      <c r="D48" s="79" t="s">
        <v>483</v>
      </c>
      <c r="E48" s="79"/>
      <c r="F48" s="79" t="s">
        <v>260</v>
      </c>
    </row>
    <row r="49" spans="1:6">
      <c r="A49" s="79" t="str" cm="1">
        <f t="array" ref="A49">IFERROR(
  INDEX('Section 1'!$B$3:$B$1000,
    MATCH(
      0,
      COUNTIF(A$1:$A48, 'Section 1'!$B$3:INDEX('Section 1'!$B:$B, COUNTA('Section 1'!$B$3:$B$1000) + 2)) +
      IF('Section 1'!$B$3:INDEX('Section 1'!$B:$B, COUNTA('Section 1'!$B$3:$B$1000) + 2) = "N/A", 1, 0),
    0)
  ),
"")</f>
        <v>SSN - Dependent</v>
      </c>
      <c r="B49" s="79" t="str">
        <f t="shared" si="1"/>
        <v>Yes</v>
      </c>
      <c r="C49" s="79" t="s">
        <v>908</v>
      </c>
      <c r="D49" s="79" t="s">
        <v>483</v>
      </c>
      <c r="E49" s="79"/>
      <c r="F49" s="79" t="s">
        <v>260</v>
      </c>
    </row>
    <row r="50" spans="1:6">
      <c r="A50" s="79" t="str" cm="1">
        <f t="array" ref="A50">IFERROR(
  INDEX('Section 1'!$B$3:$B$1000,
    MATCH(
      0,
      COUNTIF(A$1:$A49, 'Section 1'!$B$3:INDEX('Section 1'!$B:$B, COUNTA('Section 1'!$B$3:$B$1000) + 2)) +
      IF('Section 1'!$B$3:INDEX('Section 1'!$B:$B, COUNTA('Section 1'!$B$3:$B$1000) + 2) = "N/A", 1, 0),
    0)
  ),
"")</f>
        <v>Medicare Eligible Dependent</v>
      </c>
      <c r="B50" s="79" t="str">
        <f t="shared" si="1"/>
        <v>Yes</v>
      </c>
      <c r="C50" s="79" t="s">
        <v>961</v>
      </c>
      <c r="D50" s="79" t="s">
        <v>101</v>
      </c>
      <c r="E50" s="79"/>
      <c r="F50" s="79" t="s">
        <v>79</v>
      </c>
    </row>
    <row r="51" spans="1:6">
      <c r="A51" s="79" t="str" cm="1">
        <f t="array" ref="A51">IFERROR(
  INDEX('Section 1'!$B$3:$B$1000,
    MATCH(
      0,
      COUNTIF(A$1:$A50, 'Section 1'!$B$3:INDEX('Section 1'!$B:$B, COUNTA('Section 1'!$B$3:$B$1000) + 2)) +
      IF('Section 1'!$B$3:INDEX('Section 1'!$B:$B, COUNTA('Section 1'!$B$3:$B$1000) + 2) = "N/A", 1, 0),
    0)
  ),
"")</f>
        <v>Address1 - Dependent</v>
      </c>
      <c r="B51" s="79" t="str">
        <f t="shared" si="1"/>
        <v>Yes</v>
      </c>
      <c r="C51" s="79" t="s">
        <v>966</v>
      </c>
      <c r="D51" s="79" t="s">
        <v>101</v>
      </c>
      <c r="E51" s="79"/>
      <c r="F51" s="79" t="s">
        <v>139</v>
      </c>
    </row>
    <row r="52" spans="1:6">
      <c r="A52" s="79" t="str" cm="1">
        <f t="array" ref="A52">IFERROR(
  INDEX('Section 1'!$B$3:$B$1000,
    MATCH(
      0,
      COUNTIF(A$1:$A51, 'Section 1'!$B$3:INDEX('Section 1'!$B:$B, COUNTA('Section 1'!$B$3:$B$1000) + 2)) +
      IF('Section 1'!$B$3:INDEX('Section 1'!$B:$B, COUNTA('Section 1'!$B$3:$B$1000) + 2) = "N/A", 1, 0),
    0)
  ),
"")</f>
        <v>Address2 - Dependent</v>
      </c>
      <c r="B52" s="79" t="str">
        <f t="shared" si="1"/>
        <v>Yes</v>
      </c>
      <c r="C52" s="79" t="s">
        <v>969</v>
      </c>
      <c r="D52" s="79" t="s">
        <v>101</v>
      </c>
      <c r="E52" s="79"/>
      <c r="F52" s="79" t="s">
        <v>141</v>
      </c>
    </row>
    <row r="53" spans="1:6">
      <c r="A53" s="79" t="str" cm="1">
        <f t="array" ref="A53">IFERROR(
  INDEX('Section 1'!$B$3:$B$1000,
    MATCH(
      0,
      COUNTIF(A$1:$A52, 'Section 1'!$B$3:INDEX('Section 1'!$B:$B, COUNTA('Section 1'!$B$3:$B$1000) + 2)) +
      IF('Section 1'!$B$3:INDEX('Section 1'!$B:$B, COUNTA('Section 1'!$B$3:$B$1000) + 2) = "N/A", 1, 0),
    0)
  ),
"")</f>
        <v/>
      </c>
      <c r="B53" s="79" t="str">
        <f t="shared" si="1"/>
        <v/>
      </c>
      <c r="C53" s="79"/>
      <c r="D53" s="79"/>
      <c r="E53" s="79"/>
      <c r="F53" s="79"/>
    </row>
    <row r="54" spans="1:6">
      <c r="A54" s="79" t="str" cm="1">
        <f t="array" ref="A54">IFERROR(
  INDEX('Section 1'!$B$3:$B$1000,
    MATCH(
      0,
      COUNTIF(A$1:$A53, 'Section 1'!$B$3:INDEX('Section 1'!$B:$B, COUNTA('Section 1'!$B$3:$B$1000) + 2)) +
      IF('Section 1'!$B$3:INDEX('Section 1'!$B:$B, COUNTA('Section 1'!$B$3:$B$1000) + 2) = "N/A", 1, 0),
    0)
  ),
"")</f>
        <v/>
      </c>
      <c r="B54" s="79" t="str">
        <f t="shared" si="1"/>
        <v/>
      </c>
      <c r="C54" s="79"/>
      <c r="D54" s="79"/>
      <c r="E54" s="79"/>
      <c r="F54" s="79"/>
    </row>
    <row r="55" spans="1:6">
      <c r="A55" s="79" t="str" cm="1">
        <f t="array" ref="A55">IFERROR(
  INDEX('Section 1'!$B$3:$B$1000,
    MATCH(
      0,
      COUNTIF(A$1:$A54, 'Section 1'!$B$3:INDEX('Section 1'!$B:$B, COUNTA('Section 1'!$B$3:$B$1000) + 2)) +
      IF('Section 1'!$B$3:INDEX('Section 1'!$B:$B, COUNTA('Section 1'!$B$3:$B$1000) + 2) = "N/A", 1, 0),
    0)
  ),
"")</f>
        <v/>
      </c>
      <c r="B55" s="79" t="str">
        <f t="shared" si="1"/>
        <v/>
      </c>
      <c r="C55" s="79"/>
      <c r="D55" s="79"/>
      <c r="E55" s="79"/>
      <c r="F55" s="79"/>
    </row>
    <row r="56" spans="1:6">
      <c r="A56" s="79" t="str" cm="1">
        <f t="array" ref="A56">IFERROR(
  INDEX('Section 1'!$B$3:$B$1000,
    MATCH(
      0,
      COUNTIF(A$1:$A55, 'Section 1'!$B$3:INDEX('Section 1'!$B:$B, COUNTA('Section 1'!$B$3:$B$1000) + 2)) +
      IF('Section 1'!$B$3:INDEX('Section 1'!$B:$B, COUNTA('Section 1'!$B$3:$B$1000) + 2) = "N/A", 1, 0),
    0)
  ),
"")</f>
        <v/>
      </c>
      <c r="B56" s="79" t="str">
        <f t="shared" si="1"/>
        <v/>
      </c>
      <c r="C56" s="79"/>
      <c r="D56" s="79"/>
      <c r="E56" s="79"/>
      <c r="F56" s="79"/>
    </row>
    <row r="57" spans="1:6">
      <c r="A57" s="79" t="str" cm="1">
        <f t="array" ref="A57">IFERROR(
  INDEX('Section 1'!$B$3:$B$1000,
    MATCH(
      0,
      COUNTIF(A$1:$A56, 'Section 1'!$B$3:INDEX('Section 1'!$B:$B, COUNTA('Section 1'!$B$3:$B$1000) + 2)) +
      IF('Section 1'!$B$3:INDEX('Section 1'!$B:$B, COUNTA('Section 1'!$B$3:$B$1000) + 2) = "N/A", 1, 0),
    0)
  ),
"")</f>
        <v/>
      </c>
      <c r="B57" s="79" t="str">
        <f t="shared" si="1"/>
        <v/>
      </c>
      <c r="C57" s="79"/>
      <c r="D57" s="79"/>
      <c r="E57" s="79"/>
      <c r="F57" s="79"/>
    </row>
    <row r="58" spans="1:6">
      <c r="A58" s="79" t="str" cm="1">
        <f t="array" ref="A58">IFERROR(
  INDEX('Section 1'!$B$3:$B$1000,
    MATCH(
      0,
      COUNTIF(A$1:$A57, 'Section 1'!$B$3:INDEX('Section 1'!$B:$B, COUNTA('Section 1'!$B$3:$B$1000) + 2)) +
      IF('Section 1'!$B$3:INDEX('Section 1'!$B:$B, COUNTA('Section 1'!$B$3:$B$1000) + 2) = "N/A", 1, 0),
    0)
  ),
"")</f>
        <v/>
      </c>
      <c r="B58" s="79" t="str">
        <f t="shared" si="1"/>
        <v/>
      </c>
      <c r="C58" s="79"/>
      <c r="D58" s="79"/>
      <c r="E58" s="79"/>
      <c r="F58" s="79"/>
    </row>
    <row r="59" spans="1:6">
      <c r="A59" s="79" t="str" cm="1">
        <f t="array" ref="A59">IFERROR(
  INDEX('Section 1'!$B$3:$B$1000,
    MATCH(
      0,
      COUNTIF(A$1:$A58, 'Section 1'!$B$3:INDEX('Section 1'!$B:$B, COUNTA('Section 1'!$B$3:$B$1000) + 2)) +
      IF('Section 1'!$B$3:INDEX('Section 1'!$B:$B, COUNTA('Section 1'!$B$3:$B$1000) + 2) = "N/A", 1, 0),
    0)
  ),
"")</f>
        <v/>
      </c>
      <c r="B59" s="79" t="str">
        <f t="shared" si="1"/>
        <v/>
      </c>
      <c r="C59" s="79"/>
      <c r="D59" s="79"/>
      <c r="E59" s="79"/>
      <c r="F59" s="79"/>
    </row>
    <row r="60" spans="1:6">
      <c r="A60" s="79"/>
      <c r="B60" s="79"/>
      <c r="C60" s="79"/>
      <c r="D60" s="79"/>
      <c r="E60" s="79"/>
      <c r="F60" s="79"/>
    </row>
    <row r="61" spans="1:6">
      <c r="A61" s="79"/>
      <c r="B61" s="79"/>
      <c r="C61" s="79"/>
      <c r="D61" s="79"/>
      <c r="E61" s="79"/>
      <c r="F61" s="79"/>
    </row>
    <row r="62" spans="1:6">
      <c r="A62" s="79" t="str" cm="1">
        <f t="array" ref="A62">IFERROR(
  INDEX('Section 1'!$B$3:$B$1000,
    MATCH(
      0,
      COUNTIF(A$1:$A61, 'Section 1'!$B$3:INDEX('Section 1'!$B:$B, COUNTA('Section 1'!$B$3:$B$1000) + 2)) +
      IF('Section 1'!$B$3:INDEX('Section 1'!$B:$B, COUNTA('Section 1'!$B$3:$B$1000) + 2) = "N/A", 1, 0),
    0)
  ),
"")</f>
        <v/>
      </c>
      <c r="B62" s="79" t="str">
        <f t="shared" si="1"/>
        <v/>
      </c>
      <c r="C62" s="79"/>
      <c r="D62" s="79"/>
      <c r="E62" s="79"/>
      <c r="F62" s="79"/>
    </row>
    <row r="63" spans="1:6">
      <c r="A63" s="79" t="str" cm="1">
        <f t="array" ref="A63">IFERROR(
  INDEX('Section 1'!$B$3:$B$1000,
    MATCH(
      0,
      COUNTIF(A$1:$A62, 'Section 1'!$B$3:INDEX('Section 1'!$B:$B, COUNTA('Section 1'!$B$3:$B$1000) + 2)) +
      IF('Section 1'!$B$3:INDEX('Section 1'!$B:$B, COUNTA('Section 1'!$B$3:$B$1000) + 2) = "N/A", 1, 0),
    0)
  ),
"")</f>
        <v/>
      </c>
      <c r="B63" s="79" t="str">
        <f t="shared" si="1"/>
        <v/>
      </c>
      <c r="C63" s="79"/>
      <c r="D63" s="79"/>
      <c r="E63" s="79"/>
      <c r="F63" s="79"/>
    </row>
    <row r="64" spans="1:6">
      <c r="A64" s="79" t="str" cm="1">
        <f t="array" ref="A64">IFERROR(
  INDEX('Section 1'!$B$3:$B$1000,
    MATCH(
      0,
      COUNTIF(A$1:$A63, 'Section 1'!$B$3:INDEX('Section 1'!$B:$B, COUNTA('Section 1'!$B$3:$B$1000) + 2)) +
      IF('Section 1'!$B$3:INDEX('Section 1'!$B:$B, COUNTA('Section 1'!$B$3:$B$1000) + 2) = "N/A", 1, 0),
    0)
  ),
"")</f>
        <v/>
      </c>
      <c r="B64" s="79" t="str">
        <f t="shared" si="1"/>
        <v/>
      </c>
      <c r="C64" s="79"/>
      <c r="D64" s="79"/>
      <c r="E64" s="79"/>
      <c r="F64" s="79"/>
    </row>
    <row r="65" spans="1:6">
      <c r="A65" s="79" t="str" cm="1">
        <f t="array" ref="A65">IFERROR(
  INDEX('Section 1'!$B$3:$B$1000,
    MATCH(
      0,
      COUNTIF(A$1:$A64, 'Section 1'!$B$3:INDEX('Section 1'!$B:$B, COUNTA('Section 1'!$B$3:$B$1000) + 2)) +
      IF('Section 1'!$B$3:INDEX('Section 1'!$B:$B, COUNTA('Section 1'!$B$3:$B$1000) + 2) = "N/A", 1, 0),
    0)
  ),
"")</f>
        <v/>
      </c>
      <c r="B65" s="79" t="str">
        <f t="shared" si="1"/>
        <v/>
      </c>
      <c r="C65" s="79"/>
      <c r="D65" s="79"/>
      <c r="E65" s="79"/>
      <c r="F65" s="79"/>
    </row>
    <row r="66" spans="1:6">
      <c r="A66" s="79" t="str" cm="1">
        <f t="array" ref="A66">IFERROR(
  INDEX('Section 1'!$B$3:$B$1000,
    MATCH(
      0,
      COUNTIF(A$1:$A65, 'Section 1'!$B$3:INDEX('Section 1'!$B:$B, COUNTA('Section 1'!$B$3:$B$1000) + 2)) +
      IF('Section 1'!$B$3:INDEX('Section 1'!$B:$B, COUNTA('Section 1'!$B$3:$B$1000) + 2) = "N/A", 1, 0),
    0)
  ),
"")</f>
        <v/>
      </c>
      <c r="B66" s="79" t="str">
        <f t="shared" ref="B66:B95" si="2">IF(A66&lt;&gt;"", IF(COUNTIF(C:C, A66)&gt;0, "Yes", "No"), "")</f>
        <v/>
      </c>
      <c r="C66" s="79"/>
      <c r="D66" s="79"/>
      <c r="E66" s="79"/>
      <c r="F66" s="79"/>
    </row>
    <row r="67" spans="1:6">
      <c r="A67" s="79" t="str" cm="1">
        <f t="array" ref="A67">IFERROR(
  INDEX('Section 1'!$B$3:$B$1000,
    MATCH(
      0,
      COUNTIF(A$1:$A66, 'Section 1'!$B$3:INDEX('Section 1'!$B:$B, COUNTA('Section 1'!$B$3:$B$1000) + 2)) +
      IF('Section 1'!$B$3:INDEX('Section 1'!$B:$B, COUNTA('Section 1'!$B$3:$B$1000) + 2) = "N/A", 1, 0),
    0)
  ),
"")</f>
        <v/>
      </c>
      <c r="B67" s="79" t="str">
        <f t="shared" si="2"/>
        <v/>
      </c>
      <c r="C67" s="79"/>
      <c r="D67" s="79"/>
      <c r="E67" s="79"/>
      <c r="F67" s="79"/>
    </row>
    <row r="68" spans="1:6">
      <c r="A68" s="79" t="str" cm="1">
        <f t="array" ref="A68">IFERROR(
  INDEX('Section 1'!$B$3:$B$1000,
    MATCH(
      0,
      COUNTIF(A$1:$A67, 'Section 1'!$B$3:INDEX('Section 1'!$B:$B, COUNTA('Section 1'!$B$3:$B$1000) + 2)) +
      IF('Section 1'!$B$3:INDEX('Section 1'!$B:$B, COUNTA('Section 1'!$B$3:$B$1000) + 2) = "N/A", 1, 0),
    0)
  ),
"")</f>
        <v/>
      </c>
      <c r="B68" s="79" t="str">
        <f t="shared" si="2"/>
        <v/>
      </c>
      <c r="C68" s="79"/>
      <c r="D68" s="79"/>
      <c r="E68" s="79"/>
      <c r="F68" s="79"/>
    </row>
    <row r="69" spans="1:6">
      <c r="A69" s="79" t="str" cm="1">
        <f t="array" ref="A69">IFERROR(
  INDEX('Section 1'!$B$3:$B$1000,
    MATCH(
      0,
      COUNTIF(A$1:$A68, 'Section 1'!$B$3:INDEX('Section 1'!$B:$B, COUNTA('Section 1'!$B$3:$B$1000) + 2)) +
      IF('Section 1'!$B$3:INDEX('Section 1'!$B:$B, COUNTA('Section 1'!$B$3:$B$1000) + 2) = "N/A", 1, 0),
    0)
  ),
"")</f>
        <v/>
      </c>
      <c r="B69" s="79" t="str">
        <f t="shared" si="2"/>
        <v/>
      </c>
      <c r="C69" s="79"/>
      <c r="D69" s="79"/>
      <c r="E69" s="79"/>
      <c r="F69" s="79"/>
    </row>
    <row r="70" spans="1:6">
      <c r="A70" s="79" t="str" cm="1">
        <f t="array" ref="A70">IFERROR(
  INDEX('Section 1'!$B$3:$B$1000,
    MATCH(
      0,
      COUNTIF(A$1:$A69, 'Section 1'!$B$3:INDEX('Section 1'!$B:$B, COUNTA('Section 1'!$B$3:$B$1000) + 2)) +
      IF('Section 1'!$B$3:INDEX('Section 1'!$B:$B, COUNTA('Section 1'!$B$3:$B$1000) + 2) = "N/A", 1, 0),
    0)
  ),
"")</f>
        <v/>
      </c>
      <c r="B70" s="79" t="str">
        <f t="shared" si="2"/>
        <v/>
      </c>
      <c r="C70" s="79"/>
      <c r="D70" s="79"/>
      <c r="E70" s="79"/>
      <c r="F70" s="79"/>
    </row>
    <row r="71" spans="1:6">
      <c r="A71" s="79" t="str" cm="1">
        <f t="array" ref="A71">IFERROR(
  INDEX('Section 1'!$B$3:$B$1000,
    MATCH(
      0,
      COUNTIF(A$1:$A70, 'Section 1'!$B$3:INDEX('Section 1'!$B:$B, COUNTA('Section 1'!$B$3:$B$1000) + 2)) +
      IF('Section 1'!$B$3:INDEX('Section 1'!$B:$B, COUNTA('Section 1'!$B$3:$B$1000) + 2) = "N/A", 1, 0),
    0)
  ),
"")</f>
        <v/>
      </c>
      <c r="B71" s="79" t="str">
        <f t="shared" si="2"/>
        <v/>
      </c>
      <c r="C71" s="79"/>
      <c r="D71" s="79"/>
      <c r="E71" s="79"/>
      <c r="F71" s="79"/>
    </row>
    <row r="72" spans="1:6">
      <c r="A72" s="79" t="str" cm="1">
        <f t="array" ref="A72">IFERROR(
  INDEX('Section 1'!$B$3:$B$1000,
    MATCH(
      0,
      COUNTIF(A$1:$A71, 'Section 1'!$B$3:INDEX('Section 1'!$B:$B, COUNTA('Section 1'!$B$3:$B$1000) + 2)) +
      IF('Section 1'!$B$3:INDEX('Section 1'!$B:$B, COUNTA('Section 1'!$B$3:$B$1000) + 2) = "N/A", 1, 0),
    0)
  ),
"")</f>
        <v/>
      </c>
      <c r="B72" s="79" t="str">
        <f t="shared" si="2"/>
        <v/>
      </c>
      <c r="C72" s="79"/>
      <c r="D72" s="79"/>
      <c r="E72" s="79"/>
      <c r="F72" s="79"/>
    </row>
    <row r="73" spans="1:6">
      <c r="A73" s="79" t="str" cm="1">
        <f t="array" ref="A73">IFERROR(
  INDEX('Section 1'!$B$3:$B$1000,
    MATCH(
      0,
      COUNTIF(A$1:$A72, 'Section 1'!$B$3:INDEX('Section 1'!$B:$B, COUNTA('Section 1'!$B$3:$B$1000) + 2)) +
      IF('Section 1'!$B$3:INDEX('Section 1'!$B:$B, COUNTA('Section 1'!$B$3:$B$1000) + 2) = "N/A", 1, 0),
    0)
  ),
"")</f>
        <v/>
      </c>
      <c r="B73" s="79" t="str">
        <f t="shared" si="2"/>
        <v/>
      </c>
      <c r="C73" s="79"/>
      <c r="D73" s="79"/>
      <c r="E73" s="79"/>
      <c r="F73" s="79"/>
    </row>
    <row r="74" spans="1:6">
      <c r="A74" s="79" t="str" cm="1">
        <f t="array" ref="A74">IFERROR(
  INDEX('Section 1'!$B$3:$B$1000,
    MATCH(
      0,
      COUNTIF(A$1:$A73, 'Section 1'!$B$3:INDEX('Section 1'!$B:$B, COUNTA('Section 1'!$B$3:$B$1000) + 2)) +
      IF('Section 1'!$B$3:INDEX('Section 1'!$B:$B, COUNTA('Section 1'!$B$3:$B$1000) + 2) = "N/A", 1, 0),
    0)
  ),
"")</f>
        <v/>
      </c>
      <c r="B74" s="79" t="str">
        <f t="shared" si="2"/>
        <v/>
      </c>
      <c r="C74" s="79"/>
      <c r="D74" s="79"/>
      <c r="E74" s="79"/>
      <c r="F74" s="79"/>
    </row>
    <row r="75" spans="1:6">
      <c r="A75" s="79" t="str" cm="1">
        <f t="array" ref="A75">IFERROR(
  INDEX('Section 1'!$B$3:$B$1000,
    MATCH(
      0,
      COUNTIF(A$1:$A74, 'Section 1'!$B$3:INDEX('Section 1'!$B:$B, COUNTA('Section 1'!$B$3:$B$1000) + 2)) +
      IF('Section 1'!$B$3:INDEX('Section 1'!$B:$B, COUNTA('Section 1'!$B$3:$B$1000) + 2) = "N/A", 1, 0),
    0)
  ),
"")</f>
        <v/>
      </c>
      <c r="B75" s="79" t="str">
        <f t="shared" si="2"/>
        <v/>
      </c>
      <c r="C75" s="79"/>
      <c r="D75" s="79"/>
      <c r="E75" s="79"/>
      <c r="F75" s="79"/>
    </row>
    <row r="76" spans="1:6">
      <c r="A76" s="79" t="str" cm="1">
        <f t="array" ref="A76">IFERROR(
  INDEX('Section 1'!$B$3:$B$1000,
    MATCH(
      0,
      COUNTIF(A$1:$A75, 'Section 1'!$B$3:INDEX('Section 1'!$B:$B, COUNTA('Section 1'!$B$3:$B$1000) + 2)) +
      IF('Section 1'!$B$3:INDEX('Section 1'!$B:$B, COUNTA('Section 1'!$B$3:$B$1000) + 2) = "N/A", 1, 0),
    0)
  ),
"")</f>
        <v/>
      </c>
      <c r="B76" s="79" t="str">
        <f t="shared" si="2"/>
        <v/>
      </c>
      <c r="C76" s="79"/>
      <c r="D76" s="79"/>
      <c r="E76" s="79"/>
      <c r="F76" s="79"/>
    </row>
    <row r="77" spans="1:6">
      <c r="A77" s="79" t="str" cm="1">
        <f t="array" ref="A77">IFERROR(
  INDEX('Section 1'!$B$3:$B$1000,
    MATCH(
      0,
      COUNTIF(A$1:$A76, 'Section 1'!$B$3:INDEX('Section 1'!$B:$B, COUNTA('Section 1'!$B$3:$B$1000) + 2)) +
      IF('Section 1'!$B$3:INDEX('Section 1'!$B:$B, COUNTA('Section 1'!$B$3:$B$1000) + 2) = "N/A", 1, 0),
    0)
  ),
"")</f>
        <v/>
      </c>
      <c r="B77" s="79" t="str">
        <f t="shared" si="2"/>
        <v/>
      </c>
      <c r="C77" s="79"/>
      <c r="D77" s="79"/>
      <c r="E77" s="79"/>
      <c r="F77" s="79"/>
    </row>
    <row r="78" spans="1:6">
      <c r="A78" s="79" t="str" cm="1">
        <f t="array" ref="A78">IFERROR(
  INDEX('Section 1'!$B$3:$B$1000,
    MATCH(
      0,
      COUNTIF(A$1:$A77, 'Section 1'!$B$3:INDEX('Section 1'!$B:$B, COUNTA('Section 1'!$B$3:$B$1000) + 2)) +
      IF('Section 1'!$B$3:INDEX('Section 1'!$B:$B, COUNTA('Section 1'!$B$3:$B$1000) + 2) = "N/A", 1, 0),
    0)
  ),
"")</f>
        <v/>
      </c>
      <c r="B78" s="79" t="str">
        <f t="shared" si="2"/>
        <v/>
      </c>
      <c r="C78" s="79"/>
      <c r="D78" s="79"/>
      <c r="E78" s="79"/>
      <c r="F78" s="79"/>
    </row>
    <row r="79" spans="1:6">
      <c r="A79" s="79" t="str" cm="1">
        <f t="array" ref="A79">IFERROR(
  INDEX('Section 1'!$B$3:$B$1000,
    MATCH(
      0,
      COUNTIF(A$1:$A78, 'Section 1'!$B$3:INDEX('Section 1'!$B:$B, COUNTA('Section 1'!$B$3:$B$1000) + 2)) +
      IF('Section 1'!$B$3:INDEX('Section 1'!$B:$B, COUNTA('Section 1'!$B$3:$B$1000) + 2) = "N/A", 1, 0),
    0)
  ),
"")</f>
        <v/>
      </c>
      <c r="B79" s="79" t="str">
        <f t="shared" si="2"/>
        <v/>
      </c>
      <c r="C79" s="79"/>
      <c r="D79" s="79"/>
      <c r="E79" s="79"/>
      <c r="F79" s="79"/>
    </row>
    <row r="80" spans="1:6">
      <c r="A80" s="79" t="str" cm="1">
        <f t="array" ref="A80">IFERROR(
  INDEX('Section 1'!$B$3:$B$1000,
    MATCH(
      0,
      COUNTIF(A$1:$A79, 'Section 1'!$B$3:INDEX('Section 1'!$B:$B, COUNTA('Section 1'!$B$3:$B$1000) + 2)) +
      IF('Section 1'!$B$3:INDEX('Section 1'!$B:$B, COUNTA('Section 1'!$B$3:$B$1000) + 2) = "N/A", 1, 0),
    0)
  ),
"")</f>
        <v/>
      </c>
      <c r="B80" s="79" t="str">
        <f t="shared" si="2"/>
        <v/>
      </c>
      <c r="C80" s="79"/>
      <c r="D80" s="79"/>
      <c r="E80" s="79"/>
      <c r="F80" s="79"/>
    </row>
    <row r="81" spans="1:6">
      <c r="A81" s="79" t="str" cm="1">
        <f t="array" ref="A81">IFERROR(
  INDEX('Section 1'!$B$3:$B$1000,
    MATCH(
      0,
      COUNTIF(A$1:$A80, 'Section 1'!$B$3:INDEX('Section 1'!$B:$B, COUNTA('Section 1'!$B$3:$B$1000) + 2)) +
      IF('Section 1'!$B$3:INDEX('Section 1'!$B:$B, COUNTA('Section 1'!$B$3:$B$1000) + 2) = "N/A", 1, 0),
    0)
  ),
"")</f>
        <v/>
      </c>
      <c r="B81" s="79" t="str">
        <f t="shared" si="2"/>
        <v/>
      </c>
      <c r="C81" s="79"/>
      <c r="D81" s="79"/>
      <c r="E81" s="79"/>
      <c r="F81" s="79"/>
    </row>
    <row r="82" spans="1:6">
      <c r="A82" s="79" t="str" cm="1">
        <f t="array" ref="A82">IFERROR(
  INDEX('Section 1'!$B$3:$B$1000,
    MATCH(
      0,
      COUNTIF(A$1:$A81, 'Section 1'!$B$3:INDEX('Section 1'!$B:$B, COUNTA('Section 1'!$B$3:$B$1000) + 2)) +
      IF('Section 1'!$B$3:INDEX('Section 1'!$B:$B, COUNTA('Section 1'!$B$3:$B$1000) + 2) = "N/A", 1, 0),
    0)
  ),
"")</f>
        <v/>
      </c>
      <c r="B82" s="79" t="str">
        <f t="shared" si="2"/>
        <v/>
      </c>
      <c r="C82" s="79"/>
      <c r="D82" s="79"/>
      <c r="E82" s="79"/>
      <c r="F82" s="79"/>
    </row>
    <row r="83" spans="1:6">
      <c r="A83" s="79" t="str" cm="1">
        <f t="array" ref="A83">IFERROR(
  INDEX('Section 1'!$B$3:$B$1000,
    MATCH(
      0,
      COUNTIF(A$1:$A82, 'Section 1'!$B$3:INDEX('Section 1'!$B:$B, COUNTA('Section 1'!$B$3:$B$1000) + 2)) +
      IF('Section 1'!$B$3:INDEX('Section 1'!$B:$B, COUNTA('Section 1'!$B$3:$B$1000) + 2) = "N/A", 1, 0),
    0)
  ),
"")</f>
        <v/>
      </c>
      <c r="B83" s="79" t="str">
        <f t="shared" si="2"/>
        <v/>
      </c>
      <c r="C83" s="79"/>
      <c r="D83" s="79"/>
      <c r="E83" s="79"/>
      <c r="F83" s="79"/>
    </row>
    <row r="84" spans="1:6">
      <c r="A84" s="79" t="str" cm="1">
        <f t="array" ref="A84">IFERROR(
  INDEX('Section 1'!$B$3:$B$1000,
    MATCH(
      0,
      COUNTIF(A$1:$A83, 'Section 1'!$B$3:INDEX('Section 1'!$B:$B, COUNTA('Section 1'!$B$3:$B$1000) + 2)) +
      IF('Section 1'!$B$3:INDEX('Section 1'!$B:$B, COUNTA('Section 1'!$B$3:$B$1000) + 2) = "N/A", 1, 0),
    0)
  ),
"")</f>
        <v/>
      </c>
      <c r="B84" s="79" t="str">
        <f t="shared" si="2"/>
        <v/>
      </c>
      <c r="C84" s="79"/>
      <c r="D84" s="79"/>
      <c r="E84" s="79"/>
      <c r="F84" s="79"/>
    </row>
    <row r="85" spans="1:6">
      <c r="A85" s="79" t="str" cm="1">
        <f t="array" ref="A85">IFERROR(
  INDEX('Section 1'!$B$3:$B$1000,
    MATCH(
      0,
      COUNTIF(A$1:$A84, 'Section 1'!$B$3:INDEX('Section 1'!$B:$B, COUNTA('Section 1'!$B$3:$B$1000) + 2)) +
      IF('Section 1'!$B$3:INDEX('Section 1'!$B:$B, COUNTA('Section 1'!$B$3:$B$1000) + 2) = "N/A", 1, 0),
    0)
  ),
"")</f>
        <v/>
      </c>
      <c r="B85" s="79" t="str">
        <f t="shared" si="2"/>
        <v/>
      </c>
      <c r="C85" s="79"/>
      <c r="D85" s="79"/>
      <c r="E85" s="79"/>
      <c r="F85" s="79"/>
    </row>
    <row r="86" spans="1:6">
      <c r="A86" s="79" t="str" cm="1">
        <f t="array" ref="A86">IFERROR(
  INDEX('Section 1'!$B$3:$B$1000,
    MATCH(
      0,
      COUNTIF(A$1:$A85, 'Section 1'!$B$3:INDEX('Section 1'!$B:$B, COUNTA('Section 1'!$B$3:$B$1000) + 2)) +
      IF('Section 1'!$B$3:INDEX('Section 1'!$B:$B, COUNTA('Section 1'!$B$3:$B$1000) + 2) = "N/A", 1, 0),
    0)
  ),
"")</f>
        <v/>
      </c>
      <c r="B86" s="79" t="str">
        <f t="shared" si="2"/>
        <v/>
      </c>
      <c r="C86" s="79"/>
      <c r="D86" s="79"/>
      <c r="E86" s="79"/>
      <c r="F86" s="79"/>
    </row>
    <row r="87" spans="1:6">
      <c r="A87" s="79" t="str" cm="1">
        <f t="array" ref="A87">IFERROR(
  INDEX('Section 1'!$B$3:$B$1000,
    MATCH(
      0,
      COUNTIF(A$1:$A86, 'Section 1'!$B$3:INDEX('Section 1'!$B:$B, COUNTA('Section 1'!$B$3:$B$1000) + 2)) +
      IF('Section 1'!$B$3:INDEX('Section 1'!$B:$B, COUNTA('Section 1'!$B$3:$B$1000) + 2) = "N/A", 1, 0),
    0)
  ),
"")</f>
        <v/>
      </c>
      <c r="B87" s="79" t="str">
        <f t="shared" si="2"/>
        <v/>
      </c>
      <c r="C87" s="79"/>
      <c r="D87" s="79"/>
      <c r="E87" s="79"/>
      <c r="F87" s="79"/>
    </row>
    <row r="88" spans="1:6">
      <c r="A88" s="79" t="str" cm="1">
        <f t="array" ref="A88">IFERROR(
  INDEX('Section 1'!$B$3:$B$1000,
    MATCH(
      0,
      COUNTIF(A$1:$A87, 'Section 1'!$B$3:INDEX('Section 1'!$B:$B, COUNTA('Section 1'!$B$3:$B$1000) + 2)) +
      IF('Section 1'!$B$3:INDEX('Section 1'!$B:$B, COUNTA('Section 1'!$B$3:$B$1000) + 2) = "N/A", 1, 0),
    0)
  ),
"")</f>
        <v/>
      </c>
      <c r="B88" s="79" t="str">
        <f t="shared" si="2"/>
        <v/>
      </c>
      <c r="C88" s="79"/>
      <c r="D88" s="79"/>
      <c r="E88" s="79"/>
      <c r="F88" s="79"/>
    </row>
    <row r="89" spans="1:6">
      <c r="A89" s="79" t="str" cm="1">
        <f t="array" ref="A89">IFERROR(
  INDEX('Section 1'!$B$3:$B$1000,
    MATCH(
      0,
      COUNTIF(A$1:$A88, 'Section 1'!$B$3:INDEX('Section 1'!$B:$B, COUNTA('Section 1'!$B$3:$B$1000) + 2)) +
      IF('Section 1'!$B$3:INDEX('Section 1'!$B:$B, COUNTA('Section 1'!$B$3:$B$1000) + 2) = "N/A", 1, 0),
    0)
  ),
"")</f>
        <v/>
      </c>
      <c r="B89" s="79" t="str">
        <f t="shared" si="2"/>
        <v/>
      </c>
      <c r="C89" s="79"/>
      <c r="D89" s="79"/>
      <c r="E89" s="79"/>
      <c r="F89" s="79"/>
    </row>
    <row r="90" spans="1:6">
      <c r="A90" s="79" t="str" cm="1">
        <f t="array" ref="A90">IFERROR(
  INDEX('Section 1'!$B$3:$B$1000,
    MATCH(
      0,
      COUNTIF(A$1:$A89, 'Section 1'!$B$3:INDEX('Section 1'!$B:$B, COUNTA('Section 1'!$B$3:$B$1000) + 2)) +
      IF('Section 1'!$B$3:INDEX('Section 1'!$B:$B, COUNTA('Section 1'!$B$3:$B$1000) + 2) = "N/A", 1, 0),
    0)
  ),
"")</f>
        <v/>
      </c>
      <c r="B90" s="79" t="str">
        <f t="shared" si="2"/>
        <v/>
      </c>
      <c r="C90" s="79"/>
      <c r="D90" s="79"/>
      <c r="E90" s="79"/>
      <c r="F90" s="79"/>
    </row>
    <row r="91" spans="1:6">
      <c r="A91" s="79" t="str" cm="1">
        <f t="array" ref="A91">IFERROR(
  INDEX('Section 1'!$B$3:$B$1000,
    MATCH(
      0,
      COUNTIF(A$1:$A90, 'Section 1'!$B$3:INDEX('Section 1'!$B:$B, COUNTA('Section 1'!$B$3:$B$1000) + 2)) +
      IF('Section 1'!$B$3:INDEX('Section 1'!$B:$B, COUNTA('Section 1'!$B$3:$B$1000) + 2) = "N/A", 1, 0),
    0)
  ),
"")</f>
        <v/>
      </c>
      <c r="B91" s="79" t="str">
        <f t="shared" si="2"/>
        <v/>
      </c>
      <c r="C91" s="79"/>
      <c r="D91" s="79"/>
      <c r="E91" s="79"/>
      <c r="F91" s="79"/>
    </row>
    <row r="92" spans="1:6">
      <c r="A92" s="79" t="str" cm="1">
        <f t="array" ref="A92">IFERROR(
  INDEX('Section 1'!$B$3:$B$1000,
    MATCH(
      0,
      COUNTIF(A$1:$A91, 'Section 1'!$B$3:INDEX('Section 1'!$B:$B, COUNTA('Section 1'!$B$3:$B$1000) + 2)) +
      IF('Section 1'!$B$3:INDEX('Section 1'!$B:$B, COUNTA('Section 1'!$B$3:$B$1000) + 2) = "N/A", 1, 0),
    0)
  ),
"")</f>
        <v/>
      </c>
      <c r="B92" s="79" t="str">
        <f t="shared" si="2"/>
        <v/>
      </c>
      <c r="C92" s="79"/>
      <c r="D92" s="79"/>
      <c r="E92" s="79"/>
      <c r="F92" s="79"/>
    </row>
    <row r="93" spans="1:6">
      <c r="A93" s="79" t="str" cm="1">
        <f t="array" ref="A93">IFERROR(
  INDEX('Section 1'!$B$3:$B$1000,
    MATCH(
      0,
      COUNTIF(A$1:$A92, 'Section 1'!$B$3:INDEX('Section 1'!$B:$B, COUNTA('Section 1'!$B$3:$B$1000) + 2)) +
      IF('Section 1'!$B$3:INDEX('Section 1'!$B:$B, COUNTA('Section 1'!$B$3:$B$1000) + 2) = "N/A", 1, 0),
    0)
  ),
"")</f>
        <v/>
      </c>
      <c r="B93" s="79" t="str">
        <f t="shared" si="2"/>
        <v/>
      </c>
      <c r="C93" s="79"/>
      <c r="D93" s="79"/>
      <c r="E93" s="79"/>
      <c r="F93" s="79"/>
    </row>
    <row r="94" spans="1:6">
      <c r="A94" s="79" t="str" cm="1">
        <f t="array" ref="A94">IFERROR(
  INDEX('Section 1'!$B$3:$B$1000,
    MATCH(
      0,
      COUNTIF(A$1:$A93, 'Section 1'!$B$3:INDEX('Section 1'!$B:$B, COUNTA('Section 1'!$B$3:$B$1000) + 2)) +
      IF('Section 1'!$B$3:INDEX('Section 1'!$B:$B, COUNTA('Section 1'!$B$3:$B$1000) + 2) = "N/A", 1, 0),
    0)
  ),
"")</f>
        <v/>
      </c>
      <c r="B94" s="79" t="str">
        <f t="shared" si="2"/>
        <v/>
      </c>
      <c r="C94" s="79"/>
      <c r="D94" s="79"/>
      <c r="E94" s="79"/>
      <c r="F94" s="79"/>
    </row>
    <row r="95" spans="1:6">
      <c r="A95" s="79" t="str" cm="1">
        <f t="array" ref="A95">IFERROR(
  INDEX('Section 1'!$B$3:$B$1000,
    MATCH(
      0,
      COUNTIF(A$1:$A94, 'Section 1'!$B$3:INDEX('Section 1'!$B:$B, COUNTA('Section 1'!$B$3:$B$1000) + 2)) +
      IF('Section 1'!$B$3:INDEX('Section 1'!$B:$B, COUNTA('Section 1'!$B$3:$B$1000) + 2) = "N/A", 1, 0),
    0)
  ),
"")</f>
        <v/>
      </c>
      <c r="B95" s="79" t="str">
        <f t="shared" si="2"/>
        <v/>
      </c>
      <c r="C95" s="79"/>
      <c r="D95" s="79"/>
      <c r="E95" s="79"/>
      <c r="F95" s="79"/>
    </row>
  </sheetData>
  <phoneticPr fontId="19" type="noConversion"/>
  <conditionalFormatting sqref="B1:B1048576">
    <cfRule type="expression" dxfId="7" priority="8">
      <formula>$B1="No"</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outlinePr summaryBelow="0"/>
  </sheetPr>
  <dimension ref="A1:E571"/>
  <sheetViews>
    <sheetView showGridLines="0" topLeftCell="A282" zoomScale="115" zoomScaleNormal="115" workbookViewId="0">
      <selection activeCell="A286" sqref="A286:C286"/>
    </sheetView>
  </sheetViews>
  <sheetFormatPr defaultColWidth="30.7109375" defaultRowHeight="15" outlineLevelRow="1"/>
  <cols>
    <col min="1" max="2" width="50.7109375" style="14" customWidth="1"/>
    <col min="3" max="16384" width="30.7109375" style="14"/>
  </cols>
  <sheetData>
    <row r="1" spans="1:2" s="71" customFormat="1" ht="30">
      <c r="A1" s="67" t="s">
        <v>863</v>
      </c>
      <c r="B1" s="67" t="s">
        <v>815</v>
      </c>
    </row>
    <row r="2" spans="1:2">
      <c r="A2" s="73" t="s">
        <v>983</v>
      </c>
      <c r="B2" s="64" t="s">
        <v>984</v>
      </c>
    </row>
    <row r="3" spans="1:2">
      <c r="A3" s="73" t="s">
        <v>985</v>
      </c>
      <c r="B3" s="64" t="s">
        <v>984</v>
      </c>
    </row>
    <row r="5" spans="1:2" s="71" customFormat="1">
      <c r="A5" s="67" t="s">
        <v>693</v>
      </c>
    </row>
    <row r="6" spans="1:2">
      <c r="A6" s="64" t="b">
        <v>1</v>
      </c>
    </row>
    <row r="8" spans="1:2" s="71" customFormat="1">
      <c r="A8" s="67" t="s">
        <v>697</v>
      </c>
    </row>
    <row r="9" spans="1:2">
      <c r="A9" s="64" t="b">
        <v>0</v>
      </c>
    </row>
    <row r="11" spans="1:2" s="71" customFormat="1">
      <c r="A11" s="67" t="s">
        <v>697</v>
      </c>
      <c r="B11" s="67" t="s">
        <v>693</v>
      </c>
    </row>
    <row r="12" spans="1:2">
      <c r="A12" s="64" t="b">
        <v>1</v>
      </c>
      <c r="B12" s="64" t="b">
        <v>0</v>
      </c>
    </row>
    <row r="14" spans="1:2" s="71" customFormat="1">
      <c r="A14" s="67" t="s">
        <v>724</v>
      </c>
    </row>
    <row r="15" spans="1:2">
      <c r="A15" s="64" t="s">
        <v>986</v>
      </c>
    </row>
    <row r="17" spans="1:2" s="71" customFormat="1">
      <c r="A17" s="67" t="s">
        <v>731</v>
      </c>
    </row>
    <row r="18" spans="1:2">
      <c r="A18" s="64" t="b">
        <v>1</v>
      </c>
    </row>
    <row r="20" spans="1:2" s="71" customFormat="1">
      <c r="A20" s="67" t="s">
        <v>729</v>
      </c>
      <c r="B20" s="67" t="s">
        <v>731</v>
      </c>
    </row>
    <row r="21" spans="1:2">
      <c r="A21" s="64" t="b">
        <v>1</v>
      </c>
      <c r="B21" s="64" t="b">
        <v>0</v>
      </c>
    </row>
    <row r="23" spans="1:2" s="71" customFormat="1">
      <c r="A23" s="67" t="s">
        <v>733</v>
      </c>
    </row>
    <row r="24" spans="1:2">
      <c r="A24" s="64" t="s">
        <v>987</v>
      </c>
    </row>
    <row r="26" spans="1:2" s="71" customFormat="1">
      <c r="A26" s="67" t="s">
        <v>778</v>
      </c>
    </row>
    <row r="27" spans="1:2">
      <c r="A27" s="64" t="s">
        <v>82</v>
      </c>
    </row>
    <row r="29" spans="1:2" s="71" customFormat="1">
      <c r="A29" s="67" t="s">
        <v>780</v>
      </c>
    </row>
    <row r="30" spans="1:2">
      <c r="A30" s="64" t="s">
        <v>988</v>
      </c>
    </row>
    <row r="32" spans="1:2" s="71" customFormat="1">
      <c r="A32" s="67" t="s">
        <v>782</v>
      </c>
    </row>
    <row r="33" spans="1:1">
      <c r="A33" s="64" t="s">
        <v>988</v>
      </c>
    </row>
    <row r="35" spans="1:1" s="71" customFormat="1">
      <c r="A35" s="67" t="s">
        <v>784</v>
      </c>
    </row>
    <row r="36" spans="1:1">
      <c r="A36" s="64" t="s">
        <v>988</v>
      </c>
    </row>
    <row r="38" spans="1:1" s="71" customFormat="1">
      <c r="A38" s="67" t="s">
        <v>790</v>
      </c>
    </row>
    <row r="39" spans="1:1">
      <c r="A39" s="64" t="b">
        <v>1</v>
      </c>
    </row>
    <row r="41" spans="1:1">
      <c r="A41" s="67" t="s">
        <v>806</v>
      </c>
    </row>
    <row r="42" spans="1:1">
      <c r="A42" s="64" t="b">
        <v>1</v>
      </c>
    </row>
    <row r="44" spans="1:1">
      <c r="A44" s="67" t="s">
        <v>857</v>
      </c>
    </row>
    <row r="45" spans="1:1">
      <c r="A45" s="64" t="s">
        <v>989</v>
      </c>
    </row>
    <row r="47" spans="1:1">
      <c r="A47" s="67" t="s">
        <v>859</v>
      </c>
    </row>
    <row r="48" spans="1:1">
      <c r="A48" s="64" t="s">
        <v>64</v>
      </c>
    </row>
    <row r="50" spans="1:1">
      <c r="A50" s="67" t="s">
        <v>944</v>
      </c>
    </row>
    <row r="51" spans="1:1">
      <c r="A51" s="64" t="s">
        <v>988</v>
      </c>
    </row>
    <row r="53" spans="1:1">
      <c r="A53" s="67" t="s">
        <v>945</v>
      </c>
    </row>
    <row r="54" spans="1:1">
      <c r="A54" s="64" t="s">
        <v>988</v>
      </c>
    </row>
    <row r="56" spans="1:1">
      <c r="A56" s="67" t="s">
        <v>946</v>
      </c>
    </row>
    <row r="57" spans="1:1">
      <c r="A57" s="64" t="s">
        <v>988</v>
      </c>
    </row>
    <row r="59" spans="1:1" ht="30">
      <c r="A59" s="67" t="s">
        <v>949</v>
      </c>
    </row>
    <row r="60" spans="1:1">
      <c r="A60" s="64" t="b">
        <v>1</v>
      </c>
    </row>
    <row r="62" spans="1:1">
      <c r="A62" s="67" t="s">
        <v>957</v>
      </c>
    </row>
    <row r="63" spans="1:1">
      <c r="A63" s="64" t="b">
        <v>1</v>
      </c>
    </row>
    <row r="65" spans="1:2" ht="30">
      <c r="A65" s="67" t="s">
        <v>960</v>
      </c>
    </row>
    <row r="66" spans="1:2">
      <c r="A66" s="64" t="b">
        <v>1</v>
      </c>
    </row>
    <row r="68" spans="1:2" ht="30">
      <c r="A68" s="67" t="s">
        <v>959</v>
      </c>
      <c r="B68" s="67" t="s">
        <v>960</v>
      </c>
    </row>
    <row r="69" spans="1:2">
      <c r="A69" s="64" t="b">
        <v>1</v>
      </c>
      <c r="B69" s="64" t="b">
        <v>0</v>
      </c>
    </row>
    <row r="71" spans="1:2">
      <c r="A71" s="67" t="s">
        <v>964</v>
      </c>
    </row>
    <row r="72" spans="1:2">
      <c r="A72" s="64" t="b">
        <v>1</v>
      </c>
    </row>
    <row r="74" spans="1:2">
      <c r="A74" s="67" t="s">
        <v>962</v>
      </c>
      <c r="B74" s="67" t="s">
        <v>964</v>
      </c>
    </row>
    <row r="75" spans="1:2">
      <c r="A75" s="64" t="b">
        <v>1</v>
      </c>
      <c r="B75" s="64" t="b">
        <v>0</v>
      </c>
    </row>
    <row r="77" spans="1:2" ht="30">
      <c r="A77" s="67" t="s">
        <v>970</v>
      </c>
    </row>
    <row r="78" spans="1:2">
      <c r="A78" s="64" t="b">
        <v>1</v>
      </c>
    </row>
    <row r="80" spans="1:2" ht="30">
      <c r="A80" s="67" t="s">
        <v>967</v>
      </c>
      <c r="B80" s="67" t="s">
        <v>970</v>
      </c>
    </row>
    <row r="81" spans="1:5">
      <c r="A81" s="64" t="b">
        <v>1</v>
      </c>
      <c r="B81" s="64" t="b">
        <v>0</v>
      </c>
      <c r="E81" s="74"/>
    </row>
    <row r="83" spans="1:5" ht="30">
      <c r="A83" s="67" t="s">
        <v>974</v>
      </c>
    </row>
    <row r="84" spans="1:5">
      <c r="A84" s="64" t="s">
        <v>162</v>
      </c>
    </row>
    <row r="86" spans="1:5">
      <c r="A86" s="67" t="s">
        <v>727</v>
      </c>
      <c r="B86" s="69" t="s">
        <v>5</v>
      </c>
    </row>
    <row r="87" spans="1:5" outlineLevel="1">
      <c r="A87" s="64" t="s">
        <v>990</v>
      </c>
      <c r="B87" s="64" t="s">
        <v>990</v>
      </c>
    </row>
    <row r="88" spans="1:5" outlineLevel="1">
      <c r="A88" s="64" t="s">
        <v>991</v>
      </c>
      <c r="B88" s="64" t="s">
        <v>991</v>
      </c>
    </row>
    <row r="89" spans="1:5" outlineLevel="1">
      <c r="A89" s="64" t="s">
        <v>992</v>
      </c>
      <c r="B89" s="64" t="s">
        <v>992</v>
      </c>
    </row>
    <row r="90" spans="1:5" outlineLevel="1">
      <c r="A90" s="64" t="s">
        <v>993</v>
      </c>
      <c r="B90" s="64" t="s">
        <v>993</v>
      </c>
    </row>
    <row r="91" spans="1:5" outlineLevel="1">
      <c r="A91" s="64" t="s">
        <v>994</v>
      </c>
      <c r="B91" s="64" t="s">
        <v>994</v>
      </c>
    </row>
    <row r="92" spans="1:5" outlineLevel="1">
      <c r="A92" s="64" t="s">
        <v>995</v>
      </c>
      <c r="B92" s="64" t="s">
        <v>995</v>
      </c>
    </row>
    <row r="93" spans="1:5" outlineLevel="1">
      <c r="A93" s="64" t="s">
        <v>996</v>
      </c>
      <c r="B93" s="64" t="s">
        <v>996</v>
      </c>
    </row>
    <row r="94" spans="1:5" outlineLevel="1">
      <c r="A94" s="64" t="s">
        <v>997</v>
      </c>
      <c r="B94" s="64" t="s">
        <v>997</v>
      </c>
    </row>
    <row r="95" spans="1:5" outlineLevel="1">
      <c r="A95" s="64" t="s">
        <v>998</v>
      </c>
      <c r="B95" s="64" t="s">
        <v>998</v>
      </c>
    </row>
    <row r="96" spans="1:5" outlineLevel="1">
      <c r="A96" s="64" t="s">
        <v>6</v>
      </c>
      <c r="B96" s="64" t="s">
        <v>6</v>
      </c>
    </row>
    <row r="97" spans="1:2" outlineLevel="1">
      <c r="A97" s="64" t="s">
        <v>419</v>
      </c>
      <c r="B97" s="64" t="s">
        <v>419</v>
      </c>
    </row>
    <row r="98" spans="1:2" outlineLevel="1">
      <c r="A98" s="64" t="s">
        <v>999</v>
      </c>
      <c r="B98" s="64" t="s">
        <v>999</v>
      </c>
    </row>
    <row r="99" spans="1:2" outlineLevel="1">
      <c r="A99" s="64" t="s">
        <v>1000</v>
      </c>
      <c r="B99" s="64" t="s">
        <v>1000</v>
      </c>
    </row>
    <row r="100" spans="1:2" outlineLevel="1">
      <c r="A100" s="64" t="s">
        <v>1001</v>
      </c>
      <c r="B100" s="64" t="s">
        <v>1001</v>
      </c>
    </row>
    <row r="101" spans="1:2" outlineLevel="1">
      <c r="A101" s="64" t="s">
        <v>1002</v>
      </c>
      <c r="B101" s="64" t="s">
        <v>1002</v>
      </c>
    </row>
    <row r="102" spans="1:2" outlineLevel="1">
      <c r="A102" s="64" t="s">
        <v>1003</v>
      </c>
      <c r="B102" s="64" t="s">
        <v>1003</v>
      </c>
    </row>
    <row r="103" spans="1:2" outlineLevel="1">
      <c r="A103" s="64" t="s">
        <v>1668</v>
      </c>
      <c r="B103" s="64" t="s">
        <v>1668</v>
      </c>
    </row>
    <row r="104" spans="1:2" outlineLevel="1">
      <c r="A104" s="64" t="s">
        <v>1004</v>
      </c>
      <c r="B104" s="64" t="s">
        <v>1004</v>
      </c>
    </row>
    <row r="106" spans="1:2">
      <c r="A106" s="67" t="s">
        <v>685</v>
      </c>
      <c r="B106" s="69" t="s">
        <v>1</v>
      </c>
    </row>
    <row r="107" spans="1:2" outlineLevel="1">
      <c r="A107" s="64">
        <v>443120</v>
      </c>
      <c r="B107" s="64" t="s">
        <v>1005</v>
      </c>
    </row>
    <row r="108" spans="1:2" outlineLevel="1">
      <c r="A108" s="64">
        <v>13284</v>
      </c>
      <c r="B108" s="64" t="s">
        <v>1006</v>
      </c>
    </row>
    <row r="109" spans="1:2" outlineLevel="1">
      <c r="A109" s="64" t="s">
        <v>1007</v>
      </c>
      <c r="B109" s="64" t="s">
        <v>1008</v>
      </c>
    </row>
    <row r="110" spans="1:2" outlineLevel="1">
      <c r="A110" s="64">
        <v>862465</v>
      </c>
      <c r="B110" s="64" t="s">
        <v>1009</v>
      </c>
    </row>
    <row r="111" spans="1:2" outlineLevel="1">
      <c r="A111" s="64">
        <v>124658</v>
      </c>
      <c r="B111" s="64" t="s">
        <v>1010</v>
      </c>
    </row>
    <row r="112" spans="1:2" outlineLevel="1">
      <c r="A112" s="64">
        <v>349144</v>
      </c>
      <c r="B112" s="64" t="s">
        <v>2</v>
      </c>
    </row>
    <row r="113" spans="1:3" outlineLevel="1">
      <c r="A113" s="64">
        <v>191547</v>
      </c>
      <c r="B113" s="64" t="s">
        <v>1011</v>
      </c>
    </row>
    <row r="114" spans="1:3" outlineLevel="1">
      <c r="A114" s="64">
        <v>191819</v>
      </c>
      <c r="B114" s="64" t="s">
        <v>1012</v>
      </c>
    </row>
    <row r="115" spans="1:3" outlineLevel="1">
      <c r="A115" s="64">
        <v>216448</v>
      </c>
      <c r="B115" s="64" t="s">
        <v>1013</v>
      </c>
    </row>
    <row r="116" spans="1:3" outlineLevel="1">
      <c r="A116" s="64" t="s">
        <v>1014</v>
      </c>
      <c r="B116" s="64" t="s">
        <v>1015</v>
      </c>
    </row>
    <row r="117" spans="1:3" outlineLevel="1">
      <c r="A117" s="64">
        <v>146052</v>
      </c>
      <c r="B117" s="64" t="s">
        <v>1016</v>
      </c>
    </row>
    <row r="118" spans="1:3" outlineLevel="1">
      <c r="A118" s="64" t="s">
        <v>1017</v>
      </c>
      <c r="B118" s="64" t="s">
        <v>1018</v>
      </c>
    </row>
    <row r="119" spans="1:3" outlineLevel="1">
      <c r="A119" s="64">
        <v>266032</v>
      </c>
      <c r="B119" s="64" t="s">
        <v>1019</v>
      </c>
    </row>
    <row r="120" spans="1:3" outlineLevel="1">
      <c r="A120" s="64">
        <v>229709</v>
      </c>
      <c r="B120" s="64" t="s">
        <v>1020</v>
      </c>
      <c r="C120" s="75"/>
    </row>
    <row r="121" spans="1:3" outlineLevel="1">
      <c r="A121" s="64">
        <v>117065</v>
      </c>
      <c r="B121" s="64" t="s">
        <v>1021</v>
      </c>
      <c r="C121" s="75"/>
    </row>
    <row r="122" spans="1:3" outlineLevel="1">
      <c r="A122" s="64">
        <v>781558</v>
      </c>
      <c r="B122" s="64" t="s">
        <v>1022</v>
      </c>
    </row>
    <row r="123" spans="1:3" outlineLevel="1">
      <c r="A123" s="64">
        <v>350764</v>
      </c>
      <c r="B123" s="64" t="s">
        <v>1023</v>
      </c>
    </row>
    <row r="124" spans="1:3" outlineLevel="1">
      <c r="A124" s="64">
        <v>344661</v>
      </c>
      <c r="B124" s="64" t="s">
        <v>1024</v>
      </c>
    </row>
    <row r="125" spans="1:3" outlineLevel="1">
      <c r="A125" s="64">
        <v>123435</v>
      </c>
      <c r="B125" s="64" t="s">
        <v>1025</v>
      </c>
    </row>
    <row r="126" spans="1:3" outlineLevel="1">
      <c r="A126" s="64">
        <v>236228</v>
      </c>
      <c r="B126" s="64" t="s">
        <v>1026</v>
      </c>
    </row>
    <row r="127" spans="1:3" outlineLevel="1">
      <c r="A127" s="64">
        <v>277197</v>
      </c>
      <c r="B127" s="64" t="s">
        <v>1027</v>
      </c>
    </row>
    <row r="128" spans="1:3" outlineLevel="1">
      <c r="A128" s="64">
        <v>346384</v>
      </c>
      <c r="B128" s="64" t="s">
        <v>1028</v>
      </c>
    </row>
    <row r="129" spans="1:2" outlineLevel="1">
      <c r="A129" s="64">
        <v>388914</v>
      </c>
      <c r="B129" s="64" t="s">
        <v>1029</v>
      </c>
    </row>
    <row r="130" spans="1:2" outlineLevel="1">
      <c r="A130" s="64">
        <v>307447</v>
      </c>
      <c r="B130" s="64" t="s">
        <v>1030</v>
      </c>
    </row>
    <row r="131" spans="1:2" outlineLevel="1">
      <c r="A131" s="64">
        <v>460613</v>
      </c>
      <c r="B131" s="64" t="s">
        <v>1031</v>
      </c>
    </row>
    <row r="132" spans="1:2" outlineLevel="1">
      <c r="A132" s="64">
        <v>262652</v>
      </c>
      <c r="B132" s="64" t="s">
        <v>1032</v>
      </c>
    </row>
    <row r="133" spans="1:2" outlineLevel="1">
      <c r="A133" s="64">
        <v>531687</v>
      </c>
      <c r="B133" s="64" t="s">
        <v>1033</v>
      </c>
    </row>
    <row r="134" spans="1:2" outlineLevel="1">
      <c r="A134" s="64">
        <v>429713</v>
      </c>
      <c r="B134" s="64" t="s">
        <v>1034</v>
      </c>
    </row>
    <row r="135" spans="1:2" outlineLevel="1">
      <c r="A135" s="64">
        <v>765446</v>
      </c>
      <c r="B135" s="64" t="s">
        <v>1035</v>
      </c>
    </row>
    <row r="136" spans="1:2" outlineLevel="1">
      <c r="A136" s="64">
        <v>291951</v>
      </c>
      <c r="B136" s="64" t="s">
        <v>1036</v>
      </c>
    </row>
    <row r="137" spans="1:2" outlineLevel="1">
      <c r="A137" s="64">
        <v>343014</v>
      </c>
      <c r="B137" s="64" t="s">
        <v>1037</v>
      </c>
    </row>
    <row r="138" spans="1:2" outlineLevel="1">
      <c r="A138" s="64">
        <v>591842</v>
      </c>
      <c r="B138" s="64" t="s">
        <v>1038</v>
      </c>
    </row>
    <row r="139" spans="1:2" outlineLevel="1">
      <c r="A139" s="64">
        <v>159411</v>
      </c>
      <c r="B139" s="64" t="s">
        <v>1039</v>
      </c>
    </row>
    <row r="140" spans="1:2" outlineLevel="1">
      <c r="A140" s="64">
        <v>655377</v>
      </c>
      <c r="B140" s="64" t="s">
        <v>1040</v>
      </c>
    </row>
    <row r="141" spans="1:2" outlineLevel="1">
      <c r="A141" s="64">
        <v>342842</v>
      </c>
      <c r="B141" s="64" t="s">
        <v>1041</v>
      </c>
    </row>
    <row r="142" spans="1:2" outlineLevel="1">
      <c r="A142" s="64">
        <v>380448</v>
      </c>
      <c r="B142" s="64" t="s">
        <v>1042</v>
      </c>
    </row>
    <row r="143" spans="1:2" outlineLevel="1">
      <c r="A143" s="64">
        <v>212578</v>
      </c>
      <c r="B143" s="64" t="s">
        <v>1043</v>
      </c>
    </row>
    <row r="144" spans="1:2" outlineLevel="1">
      <c r="A144" s="64">
        <v>770498</v>
      </c>
      <c r="B144" s="64" t="s">
        <v>1044</v>
      </c>
    </row>
    <row r="145" spans="1:2" outlineLevel="1">
      <c r="A145" s="64">
        <v>292694</v>
      </c>
      <c r="B145" s="64" t="s">
        <v>1045</v>
      </c>
    </row>
    <row r="146" spans="1:2" outlineLevel="1">
      <c r="A146" s="64">
        <v>258766</v>
      </c>
      <c r="B146" s="64" t="s">
        <v>1046</v>
      </c>
    </row>
    <row r="147" spans="1:2" outlineLevel="1">
      <c r="A147" s="64">
        <v>522810</v>
      </c>
      <c r="B147" s="64" t="s">
        <v>1047</v>
      </c>
    </row>
    <row r="148" spans="1:2" outlineLevel="1">
      <c r="A148" s="64">
        <v>867274</v>
      </c>
      <c r="B148" s="64" t="s">
        <v>1048</v>
      </c>
    </row>
    <row r="149" spans="1:2" outlineLevel="1">
      <c r="A149" s="64">
        <v>120984</v>
      </c>
      <c r="B149" s="64" t="s">
        <v>1049</v>
      </c>
    </row>
    <row r="150" spans="1:2" outlineLevel="1">
      <c r="A150" s="64">
        <v>165521</v>
      </c>
      <c r="B150" s="64" t="s">
        <v>1050</v>
      </c>
    </row>
    <row r="151" spans="1:2" outlineLevel="1">
      <c r="A151" s="64">
        <v>203751</v>
      </c>
      <c r="B151" s="64" t="s">
        <v>1051</v>
      </c>
    </row>
    <row r="152" spans="1:2" outlineLevel="1">
      <c r="A152" s="64">
        <v>289219</v>
      </c>
      <c r="B152" s="64" t="s">
        <v>1052</v>
      </c>
    </row>
    <row r="153" spans="1:2" outlineLevel="1">
      <c r="A153" s="64">
        <v>268568</v>
      </c>
      <c r="B153" s="64" t="s">
        <v>1053</v>
      </c>
    </row>
    <row r="154" spans="1:2" outlineLevel="1">
      <c r="A154" s="64">
        <v>210094</v>
      </c>
      <c r="B154" s="64" t="s">
        <v>1054</v>
      </c>
    </row>
    <row r="155" spans="1:2" outlineLevel="1">
      <c r="A155" s="64">
        <v>215328</v>
      </c>
      <c r="B155" s="64" t="s">
        <v>1055</v>
      </c>
    </row>
    <row r="156" spans="1:2" outlineLevel="1">
      <c r="A156" s="64" t="s">
        <v>1056</v>
      </c>
      <c r="B156" s="64" t="s">
        <v>1057</v>
      </c>
    </row>
    <row r="157" spans="1:2" outlineLevel="1">
      <c r="A157" s="64" t="s">
        <v>1058</v>
      </c>
      <c r="B157" s="64" t="s">
        <v>1059</v>
      </c>
    </row>
    <row r="158" spans="1:2" outlineLevel="1">
      <c r="A158" s="64">
        <v>668947</v>
      </c>
      <c r="B158" s="64" t="s">
        <v>1060</v>
      </c>
    </row>
    <row r="159" spans="1:2" outlineLevel="1">
      <c r="A159" s="64">
        <v>260890</v>
      </c>
      <c r="B159" s="64" t="s">
        <v>1061</v>
      </c>
    </row>
    <row r="160" spans="1:2" outlineLevel="1">
      <c r="A160" s="64">
        <v>724298</v>
      </c>
      <c r="B160" s="64" t="s">
        <v>1062</v>
      </c>
    </row>
    <row r="161" spans="1:2" outlineLevel="1">
      <c r="A161" s="64">
        <v>288470</v>
      </c>
      <c r="B161" s="64" t="s">
        <v>1063</v>
      </c>
    </row>
    <row r="162" spans="1:2" outlineLevel="1">
      <c r="A162" s="64">
        <v>265896</v>
      </c>
      <c r="B162" s="64" t="s">
        <v>1064</v>
      </c>
    </row>
    <row r="163" spans="1:2" outlineLevel="1">
      <c r="A163" s="64" t="s">
        <v>1065</v>
      </c>
      <c r="B163" s="64" t="s">
        <v>1066</v>
      </c>
    </row>
    <row r="164" spans="1:2" outlineLevel="1">
      <c r="A164" s="64">
        <v>294529</v>
      </c>
      <c r="B164" s="64" t="s">
        <v>1067</v>
      </c>
    </row>
    <row r="165" spans="1:2" outlineLevel="1">
      <c r="A165" s="64">
        <v>242984</v>
      </c>
      <c r="B165" s="64" t="s">
        <v>1068</v>
      </c>
    </row>
    <row r="166" spans="1:2" outlineLevel="1">
      <c r="A166" s="64" t="s">
        <v>1069</v>
      </c>
      <c r="B166" s="64" t="s">
        <v>1070</v>
      </c>
    </row>
    <row r="167" spans="1:2" outlineLevel="1">
      <c r="A167" s="64">
        <v>620684</v>
      </c>
      <c r="B167" s="64" t="s">
        <v>1071</v>
      </c>
    </row>
    <row r="168" spans="1:2" outlineLevel="1">
      <c r="A168" s="64">
        <v>369926</v>
      </c>
      <c r="B168" s="64" t="s">
        <v>1072</v>
      </c>
    </row>
    <row r="169" spans="1:2" outlineLevel="1">
      <c r="A169" s="64">
        <v>282114</v>
      </c>
      <c r="B169" s="64" t="s">
        <v>1073</v>
      </c>
    </row>
    <row r="170" spans="1:2" outlineLevel="1">
      <c r="A170" s="64">
        <v>237899</v>
      </c>
      <c r="B170" s="64" t="s">
        <v>1074</v>
      </c>
    </row>
    <row r="171" spans="1:2" outlineLevel="1">
      <c r="A171" s="64">
        <v>645127</v>
      </c>
      <c r="B171" s="64" t="s">
        <v>1075</v>
      </c>
    </row>
    <row r="172" spans="1:2" ht="30" outlineLevel="1">
      <c r="A172" s="64">
        <v>242059</v>
      </c>
      <c r="B172" s="64" t="s">
        <v>1076</v>
      </c>
    </row>
    <row r="173" spans="1:2" outlineLevel="1">
      <c r="A173" s="64">
        <v>308929</v>
      </c>
      <c r="B173" s="64" t="s">
        <v>1077</v>
      </c>
    </row>
    <row r="174" spans="1:2" outlineLevel="1">
      <c r="A174" s="64">
        <v>869987</v>
      </c>
      <c r="B174" s="64" t="s">
        <v>1078</v>
      </c>
    </row>
    <row r="175" spans="1:2" outlineLevel="1">
      <c r="A175" s="64">
        <v>562848</v>
      </c>
      <c r="B175" s="64" t="s">
        <v>1079</v>
      </c>
    </row>
    <row r="176" spans="1:2" outlineLevel="1">
      <c r="A176" s="64" t="s">
        <v>1669</v>
      </c>
      <c r="B176" s="64" t="s">
        <v>1670</v>
      </c>
    </row>
    <row r="177" spans="1:2" outlineLevel="1">
      <c r="A177" s="64">
        <v>154876</v>
      </c>
      <c r="B177" s="64" t="s">
        <v>1080</v>
      </c>
    </row>
    <row r="178" spans="1:2" outlineLevel="1">
      <c r="A178" s="64">
        <v>361359</v>
      </c>
      <c r="B178" s="64" t="s">
        <v>1081</v>
      </c>
    </row>
    <row r="179" spans="1:2" outlineLevel="1">
      <c r="A179" s="64" t="s">
        <v>1082</v>
      </c>
      <c r="B179" s="64" t="s">
        <v>1083</v>
      </c>
    </row>
    <row r="180" spans="1:2" outlineLevel="1">
      <c r="A180" s="64">
        <v>896329</v>
      </c>
      <c r="B180" s="64" t="s">
        <v>1084</v>
      </c>
    </row>
    <row r="181" spans="1:2" outlineLevel="1">
      <c r="A181" s="64">
        <v>348160</v>
      </c>
      <c r="B181" s="64" t="s">
        <v>1085</v>
      </c>
    </row>
    <row r="182" spans="1:2" outlineLevel="1">
      <c r="A182" s="64">
        <v>225464</v>
      </c>
      <c r="B182" s="64" t="s">
        <v>1086</v>
      </c>
    </row>
    <row r="183" spans="1:2" outlineLevel="1">
      <c r="A183" s="64">
        <v>432577</v>
      </c>
      <c r="B183" s="64" t="s">
        <v>1087</v>
      </c>
    </row>
    <row r="184" spans="1:2" outlineLevel="1">
      <c r="A184" s="64">
        <v>318071</v>
      </c>
      <c r="B184" s="64" t="s">
        <v>1088</v>
      </c>
    </row>
    <row r="185" spans="1:2" outlineLevel="1">
      <c r="A185" s="64">
        <v>264980</v>
      </c>
      <c r="B185" s="64" t="s">
        <v>1089</v>
      </c>
    </row>
    <row r="186" spans="1:2" outlineLevel="1">
      <c r="A186" s="64">
        <v>290718</v>
      </c>
      <c r="B186" s="64" t="s">
        <v>1090</v>
      </c>
    </row>
    <row r="187" spans="1:2" outlineLevel="1">
      <c r="A187" s="64">
        <v>173155</v>
      </c>
      <c r="B187" s="64" t="s">
        <v>1091</v>
      </c>
    </row>
    <row r="188" spans="1:2" outlineLevel="1">
      <c r="A188" s="64" t="s">
        <v>1082</v>
      </c>
      <c r="B188" s="64" t="s">
        <v>1092</v>
      </c>
    </row>
    <row r="189" spans="1:2" outlineLevel="1">
      <c r="A189" s="64">
        <v>623694</v>
      </c>
      <c r="B189" s="64" t="s">
        <v>1093</v>
      </c>
    </row>
    <row r="190" spans="1:2" outlineLevel="1">
      <c r="A190" s="64">
        <v>297201</v>
      </c>
      <c r="B190" s="64" t="s">
        <v>1094</v>
      </c>
    </row>
    <row r="191" spans="1:2" outlineLevel="1">
      <c r="A191" s="64">
        <v>635730</v>
      </c>
      <c r="B191" s="64" t="s">
        <v>1095</v>
      </c>
    </row>
    <row r="192" spans="1:2" outlineLevel="1">
      <c r="A192" s="64">
        <v>160157</v>
      </c>
      <c r="B192" s="64" t="s">
        <v>1096</v>
      </c>
    </row>
    <row r="193" spans="1:2" outlineLevel="1">
      <c r="A193" s="64">
        <v>159858</v>
      </c>
      <c r="B193" s="64" t="s">
        <v>1097</v>
      </c>
    </row>
    <row r="195" spans="1:2">
      <c r="A195" s="67" t="s">
        <v>688</v>
      </c>
      <c r="B195" s="69" t="s">
        <v>1</v>
      </c>
    </row>
    <row r="196" spans="1:2" outlineLevel="1">
      <c r="A196" s="64" t="s">
        <v>1098</v>
      </c>
      <c r="B196" s="64" t="s">
        <v>1005</v>
      </c>
    </row>
    <row r="197" spans="1:2" outlineLevel="1">
      <c r="A197" s="64" t="s">
        <v>1099</v>
      </c>
      <c r="B197" s="64" t="s">
        <v>1006</v>
      </c>
    </row>
    <row r="198" spans="1:2" outlineLevel="1">
      <c r="A198" s="64" t="s">
        <v>1100</v>
      </c>
      <c r="B198" s="64" t="s">
        <v>1008</v>
      </c>
    </row>
    <row r="199" spans="1:2" outlineLevel="1">
      <c r="A199" s="64" t="s">
        <v>1101</v>
      </c>
      <c r="B199" s="64" t="s">
        <v>1009</v>
      </c>
    </row>
    <row r="200" spans="1:2" outlineLevel="1">
      <c r="A200" s="64" t="s">
        <v>1102</v>
      </c>
      <c r="B200" s="64" t="s">
        <v>1010</v>
      </c>
    </row>
    <row r="201" spans="1:2" outlineLevel="1">
      <c r="A201" s="64" t="s">
        <v>1103</v>
      </c>
      <c r="B201" s="64" t="s">
        <v>2</v>
      </c>
    </row>
    <row r="202" spans="1:2" outlineLevel="1">
      <c r="A202" s="64" t="s">
        <v>1104</v>
      </c>
      <c r="B202" s="64" t="s">
        <v>1011</v>
      </c>
    </row>
    <row r="203" spans="1:2" outlineLevel="1">
      <c r="A203" s="64" t="s">
        <v>1105</v>
      </c>
      <c r="B203" s="64" t="s">
        <v>1012</v>
      </c>
    </row>
    <row r="204" spans="1:2" outlineLevel="1">
      <c r="A204" s="64" t="s">
        <v>1106</v>
      </c>
      <c r="B204" s="64" t="s">
        <v>1013</v>
      </c>
    </row>
    <row r="205" spans="1:2" outlineLevel="1">
      <c r="A205" s="64" t="s">
        <v>1107</v>
      </c>
      <c r="B205" s="64" t="s">
        <v>1015</v>
      </c>
    </row>
    <row r="206" spans="1:2" outlineLevel="1">
      <c r="A206" s="64" t="s">
        <v>1108</v>
      </c>
      <c r="B206" s="64" t="s">
        <v>1016</v>
      </c>
    </row>
    <row r="207" spans="1:2" outlineLevel="1">
      <c r="A207" s="64" t="s">
        <v>1109</v>
      </c>
      <c r="B207" s="64" t="s">
        <v>1018</v>
      </c>
    </row>
    <row r="208" spans="1:2" outlineLevel="1">
      <c r="A208" s="64" t="s">
        <v>1110</v>
      </c>
      <c r="B208" s="64" t="s">
        <v>1019</v>
      </c>
    </row>
    <row r="209" spans="1:2" outlineLevel="1">
      <c r="A209" s="64" t="s">
        <v>1111</v>
      </c>
      <c r="B209" s="64" t="s">
        <v>1020</v>
      </c>
    </row>
    <row r="210" spans="1:2" outlineLevel="1">
      <c r="A210" s="64" t="s">
        <v>1112</v>
      </c>
      <c r="B210" s="64" t="s">
        <v>1021</v>
      </c>
    </row>
    <row r="211" spans="1:2" outlineLevel="1">
      <c r="A211" s="64" t="s">
        <v>1113</v>
      </c>
      <c r="B211" s="64" t="s">
        <v>1022</v>
      </c>
    </row>
    <row r="212" spans="1:2" outlineLevel="1">
      <c r="A212" s="64" t="s">
        <v>1114</v>
      </c>
      <c r="B212" s="64" t="s">
        <v>1023</v>
      </c>
    </row>
    <row r="213" spans="1:2" outlineLevel="1">
      <c r="A213" s="64" t="s">
        <v>1115</v>
      </c>
      <c r="B213" s="64" t="s">
        <v>1024</v>
      </c>
    </row>
    <row r="214" spans="1:2" outlineLevel="1">
      <c r="A214" s="64" t="s">
        <v>1116</v>
      </c>
      <c r="B214" s="64" t="s">
        <v>1025</v>
      </c>
    </row>
    <row r="215" spans="1:2" outlineLevel="1">
      <c r="A215" s="64" t="s">
        <v>1117</v>
      </c>
      <c r="B215" s="64" t="s">
        <v>1026</v>
      </c>
    </row>
    <row r="216" spans="1:2" outlineLevel="1">
      <c r="A216" s="64" t="s">
        <v>1118</v>
      </c>
      <c r="B216" s="64" t="s">
        <v>1027</v>
      </c>
    </row>
    <row r="217" spans="1:2" outlineLevel="1">
      <c r="A217" s="64" t="s">
        <v>1119</v>
      </c>
      <c r="B217" s="64" t="s">
        <v>1028</v>
      </c>
    </row>
    <row r="218" spans="1:2" outlineLevel="1">
      <c r="A218" s="64" t="s">
        <v>1120</v>
      </c>
      <c r="B218" s="64" t="s">
        <v>1029</v>
      </c>
    </row>
    <row r="219" spans="1:2" outlineLevel="1">
      <c r="A219" s="64" t="s">
        <v>1121</v>
      </c>
      <c r="B219" s="64" t="s">
        <v>1030</v>
      </c>
    </row>
    <row r="220" spans="1:2" outlineLevel="1">
      <c r="A220" s="64" t="s">
        <v>1122</v>
      </c>
      <c r="B220" s="64" t="s">
        <v>1031</v>
      </c>
    </row>
    <row r="221" spans="1:2" outlineLevel="1">
      <c r="A221" s="64" t="s">
        <v>1123</v>
      </c>
      <c r="B221" s="64" t="s">
        <v>1032</v>
      </c>
    </row>
    <row r="222" spans="1:2" outlineLevel="1">
      <c r="A222" s="64" t="s">
        <v>1124</v>
      </c>
      <c r="B222" s="64" t="s">
        <v>1033</v>
      </c>
    </row>
    <row r="223" spans="1:2" outlineLevel="1">
      <c r="A223" s="64" t="s">
        <v>1125</v>
      </c>
      <c r="B223" s="64" t="s">
        <v>1034</v>
      </c>
    </row>
    <row r="224" spans="1:2" outlineLevel="1">
      <c r="A224" s="64" t="s">
        <v>1126</v>
      </c>
      <c r="B224" s="64" t="s">
        <v>1035</v>
      </c>
    </row>
    <row r="225" spans="1:2" outlineLevel="1">
      <c r="A225" s="64" t="s">
        <v>1127</v>
      </c>
      <c r="B225" s="64" t="s">
        <v>1036</v>
      </c>
    </row>
    <row r="226" spans="1:2" outlineLevel="1">
      <c r="A226" s="64" t="s">
        <v>1128</v>
      </c>
      <c r="B226" s="64" t="s">
        <v>1037</v>
      </c>
    </row>
    <row r="227" spans="1:2" outlineLevel="1">
      <c r="A227" s="64" t="s">
        <v>1129</v>
      </c>
      <c r="B227" s="64" t="s">
        <v>1038</v>
      </c>
    </row>
    <row r="228" spans="1:2" outlineLevel="1">
      <c r="A228" s="64" t="s">
        <v>1130</v>
      </c>
      <c r="B228" s="64" t="s">
        <v>1039</v>
      </c>
    </row>
    <row r="229" spans="1:2" outlineLevel="1">
      <c r="A229" s="64" t="s">
        <v>1131</v>
      </c>
      <c r="B229" s="64" t="s">
        <v>1040</v>
      </c>
    </row>
    <row r="230" spans="1:2" outlineLevel="1">
      <c r="A230" s="64" t="s">
        <v>1132</v>
      </c>
      <c r="B230" s="64" t="s">
        <v>1041</v>
      </c>
    </row>
    <row r="231" spans="1:2" outlineLevel="1">
      <c r="A231" s="64" t="s">
        <v>1133</v>
      </c>
      <c r="B231" s="64" t="s">
        <v>1134</v>
      </c>
    </row>
    <row r="232" spans="1:2" outlineLevel="1">
      <c r="A232" s="64" t="s">
        <v>1135</v>
      </c>
      <c r="B232" s="64" t="s">
        <v>1042</v>
      </c>
    </row>
    <row r="233" spans="1:2" outlineLevel="1">
      <c r="A233" s="64" t="s">
        <v>1136</v>
      </c>
      <c r="B233" s="64" t="s">
        <v>1043</v>
      </c>
    </row>
    <row r="234" spans="1:2" outlineLevel="1">
      <c r="A234" s="64" t="s">
        <v>1137</v>
      </c>
      <c r="B234" s="64" t="s">
        <v>1044</v>
      </c>
    </row>
    <row r="235" spans="1:2" outlineLevel="1">
      <c r="A235" s="64" t="s">
        <v>1138</v>
      </c>
      <c r="B235" s="64" t="s">
        <v>1045</v>
      </c>
    </row>
    <row r="236" spans="1:2" outlineLevel="1">
      <c r="A236" s="64" t="s">
        <v>1139</v>
      </c>
      <c r="B236" s="64" t="s">
        <v>1046</v>
      </c>
    </row>
    <row r="237" spans="1:2" outlineLevel="1">
      <c r="A237" s="64" t="s">
        <v>1140</v>
      </c>
      <c r="B237" s="64" t="s">
        <v>1047</v>
      </c>
    </row>
    <row r="238" spans="1:2" outlineLevel="1">
      <c r="A238" s="64" t="s">
        <v>1141</v>
      </c>
      <c r="B238" s="64" t="s">
        <v>1048</v>
      </c>
    </row>
    <row r="239" spans="1:2" outlineLevel="1">
      <c r="A239" s="64" t="s">
        <v>1142</v>
      </c>
      <c r="B239" s="64" t="s">
        <v>1049</v>
      </c>
    </row>
    <row r="240" spans="1:2" outlineLevel="1">
      <c r="A240" s="64" t="s">
        <v>1143</v>
      </c>
      <c r="B240" s="64" t="s">
        <v>1050</v>
      </c>
    </row>
    <row r="241" spans="1:2" outlineLevel="1">
      <c r="A241" s="64" t="s">
        <v>1144</v>
      </c>
      <c r="B241" s="64" t="s">
        <v>1051</v>
      </c>
    </row>
    <row r="242" spans="1:2" outlineLevel="1">
      <c r="A242" s="64" t="s">
        <v>1145</v>
      </c>
      <c r="B242" s="64" t="s">
        <v>1052</v>
      </c>
    </row>
    <row r="243" spans="1:2" outlineLevel="1">
      <c r="A243" s="64" t="s">
        <v>1146</v>
      </c>
      <c r="B243" s="64" t="s">
        <v>1053</v>
      </c>
    </row>
    <row r="244" spans="1:2" outlineLevel="1">
      <c r="A244" s="64" t="s">
        <v>1147</v>
      </c>
      <c r="B244" s="64" t="s">
        <v>1054</v>
      </c>
    </row>
    <row r="245" spans="1:2" outlineLevel="1">
      <c r="A245" s="64" t="s">
        <v>1148</v>
      </c>
      <c r="B245" s="64" t="s">
        <v>1055</v>
      </c>
    </row>
    <row r="246" spans="1:2" outlineLevel="1">
      <c r="A246" s="64" t="s">
        <v>1149</v>
      </c>
      <c r="B246" s="64" t="s">
        <v>1057</v>
      </c>
    </row>
    <row r="247" spans="1:2" outlineLevel="1">
      <c r="A247" s="64" t="s">
        <v>1150</v>
      </c>
      <c r="B247" s="64" t="s">
        <v>1059</v>
      </c>
    </row>
    <row r="248" spans="1:2" outlineLevel="1">
      <c r="A248" s="64" t="s">
        <v>1151</v>
      </c>
      <c r="B248" s="64" t="s">
        <v>1060</v>
      </c>
    </row>
    <row r="249" spans="1:2" outlineLevel="1">
      <c r="A249" s="64" t="s">
        <v>1152</v>
      </c>
      <c r="B249" s="64" t="s">
        <v>1061</v>
      </c>
    </row>
    <row r="250" spans="1:2" outlineLevel="1">
      <c r="A250" s="64" t="s">
        <v>1153</v>
      </c>
      <c r="B250" s="64" t="s">
        <v>1062</v>
      </c>
    </row>
    <row r="251" spans="1:2" outlineLevel="1">
      <c r="A251" s="64" t="s">
        <v>1154</v>
      </c>
      <c r="B251" s="64" t="s">
        <v>1063</v>
      </c>
    </row>
    <row r="252" spans="1:2" outlineLevel="1">
      <c r="A252" s="64" t="s">
        <v>1155</v>
      </c>
      <c r="B252" s="64" t="s">
        <v>1064</v>
      </c>
    </row>
    <row r="253" spans="1:2" outlineLevel="1">
      <c r="A253" s="64" t="s">
        <v>1156</v>
      </c>
      <c r="B253" s="64" t="s">
        <v>1066</v>
      </c>
    </row>
    <row r="254" spans="1:2" outlineLevel="1">
      <c r="A254" s="64" t="s">
        <v>1157</v>
      </c>
      <c r="B254" s="64" t="s">
        <v>1067</v>
      </c>
    </row>
    <row r="255" spans="1:2" outlineLevel="1">
      <c r="A255" s="64" t="s">
        <v>1158</v>
      </c>
      <c r="B255" s="64" t="s">
        <v>1068</v>
      </c>
    </row>
    <row r="256" spans="1:2" outlineLevel="1">
      <c r="A256" s="64" t="s">
        <v>1159</v>
      </c>
      <c r="B256" s="64" t="s">
        <v>1070</v>
      </c>
    </row>
    <row r="257" spans="1:2" outlineLevel="1">
      <c r="A257" s="64" t="s">
        <v>1160</v>
      </c>
      <c r="B257" s="64" t="s">
        <v>1071</v>
      </c>
    </row>
    <row r="258" spans="1:2" outlineLevel="1">
      <c r="A258" s="64" t="s">
        <v>1161</v>
      </c>
      <c r="B258" s="64" t="s">
        <v>1072</v>
      </c>
    </row>
    <row r="259" spans="1:2" outlineLevel="1">
      <c r="A259" s="64" t="s">
        <v>1162</v>
      </c>
      <c r="B259" s="64" t="s">
        <v>1073</v>
      </c>
    </row>
    <row r="260" spans="1:2" outlineLevel="1">
      <c r="A260" s="64" t="s">
        <v>1163</v>
      </c>
      <c r="B260" s="64" t="s">
        <v>1074</v>
      </c>
    </row>
    <row r="261" spans="1:2" outlineLevel="1">
      <c r="A261" s="64" t="s">
        <v>1164</v>
      </c>
      <c r="B261" s="64" t="s">
        <v>1075</v>
      </c>
    </row>
    <row r="262" spans="1:2" ht="30" outlineLevel="1">
      <c r="A262" s="64" t="s">
        <v>1165</v>
      </c>
      <c r="B262" s="64" t="s">
        <v>1076</v>
      </c>
    </row>
    <row r="263" spans="1:2" outlineLevel="1">
      <c r="A263" s="64" t="s">
        <v>1166</v>
      </c>
      <c r="B263" s="64" t="s">
        <v>1077</v>
      </c>
    </row>
    <row r="264" spans="1:2" outlineLevel="1">
      <c r="A264" s="64" t="s">
        <v>1167</v>
      </c>
      <c r="B264" s="64" t="s">
        <v>1078</v>
      </c>
    </row>
    <row r="265" spans="1:2" outlineLevel="1">
      <c r="A265" s="64" t="s">
        <v>1168</v>
      </c>
      <c r="B265" s="64" t="s">
        <v>1079</v>
      </c>
    </row>
    <row r="266" spans="1:2" outlineLevel="1">
      <c r="A266" s="64" t="s">
        <v>1169</v>
      </c>
      <c r="B266" s="64" t="s">
        <v>1080</v>
      </c>
    </row>
    <row r="267" spans="1:2" outlineLevel="1">
      <c r="A267" s="64" t="s">
        <v>1671</v>
      </c>
      <c r="B267" s="64" t="s">
        <v>1670</v>
      </c>
    </row>
    <row r="268" spans="1:2" outlineLevel="1">
      <c r="A268" s="64" t="s">
        <v>1170</v>
      </c>
      <c r="B268" s="64" t="s">
        <v>1081</v>
      </c>
    </row>
    <row r="269" spans="1:2" outlineLevel="1">
      <c r="A269" s="64" t="s">
        <v>1171</v>
      </c>
      <c r="B269" s="64" t="s">
        <v>1083</v>
      </c>
    </row>
    <row r="270" spans="1:2" outlineLevel="1">
      <c r="A270" s="64" t="s">
        <v>1172</v>
      </c>
      <c r="B270" s="64" t="s">
        <v>1084</v>
      </c>
    </row>
    <row r="271" spans="1:2" outlineLevel="1">
      <c r="A271" s="64" t="s">
        <v>1173</v>
      </c>
      <c r="B271" s="64" t="s">
        <v>1085</v>
      </c>
    </row>
    <row r="272" spans="1:2" outlineLevel="1">
      <c r="A272" s="64" t="s">
        <v>1174</v>
      </c>
      <c r="B272" s="64" t="s">
        <v>1086</v>
      </c>
    </row>
    <row r="273" spans="1:3" outlineLevel="1">
      <c r="A273" s="64" t="s">
        <v>1175</v>
      </c>
      <c r="B273" s="64" t="s">
        <v>1087</v>
      </c>
    </row>
    <row r="274" spans="1:3" outlineLevel="1">
      <c r="A274" s="64" t="s">
        <v>1176</v>
      </c>
      <c r="B274" s="64" t="s">
        <v>1088</v>
      </c>
    </row>
    <row r="275" spans="1:3" outlineLevel="1">
      <c r="A275" s="64" t="s">
        <v>1177</v>
      </c>
      <c r="B275" s="64" t="s">
        <v>1089</v>
      </c>
    </row>
    <row r="276" spans="1:3" outlineLevel="1">
      <c r="A276" s="64" t="s">
        <v>1178</v>
      </c>
      <c r="B276" s="64" t="s">
        <v>1090</v>
      </c>
    </row>
    <row r="277" spans="1:3" outlineLevel="1">
      <c r="A277" s="64" t="s">
        <v>1179</v>
      </c>
      <c r="B277" s="64" t="s">
        <v>1091</v>
      </c>
    </row>
    <row r="278" spans="1:3" outlineLevel="1">
      <c r="A278" s="64" t="s">
        <v>1171</v>
      </c>
      <c r="B278" s="64" t="s">
        <v>1092</v>
      </c>
    </row>
    <row r="279" spans="1:3" outlineLevel="1">
      <c r="A279" s="64" t="s">
        <v>1180</v>
      </c>
      <c r="B279" s="64" t="s">
        <v>1093</v>
      </c>
    </row>
    <row r="280" spans="1:3" outlineLevel="1">
      <c r="A280" s="64" t="s">
        <v>1181</v>
      </c>
      <c r="B280" s="64" t="s">
        <v>1094</v>
      </c>
    </row>
    <row r="281" spans="1:3" outlineLevel="1">
      <c r="A281" s="64" t="s">
        <v>1182</v>
      </c>
      <c r="B281" s="64" t="s">
        <v>1095</v>
      </c>
    </row>
    <row r="282" spans="1:3" ht="30" outlineLevel="1">
      <c r="A282" s="64" t="s">
        <v>1183</v>
      </c>
      <c r="B282" s="64" t="s">
        <v>1096</v>
      </c>
    </row>
    <row r="283" spans="1:3" outlineLevel="1">
      <c r="A283" s="64" t="s">
        <v>1097</v>
      </c>
      <c r="B283" s="64" t="s">
        <v>1184</v>
      </c>
      <c r="C283" s="76"/>
    </row>
    <row r="286" spans="1:3">
      <c r="A286" s="67" t="s">
        <v>713</v>
      </c>
      <c r="B286" s="69" t="s">
        <v>708</v>
      </c>
      <c r="C286" s="69" t="s">
        <v>717</v>
      </c>
    </row>
    <row r="287" spans="1:3">
      <c r="A287" s="72" t="s">
        <v>717</v>
      </c>
      <c r="B287" s="64" t="s">
        <v>1185</v>
      </c>
      <c r="C287" s="64" t="s">
        <v>1186</v>
      </c>
    </row>
    <row r="288" spans="1:3">
      <c r="A288" s="72" t="s">
        <v>708</v>
      </c>
      <c r="B288" s="64" t="s">
        <v>1186</v>
      </c>
      <c r="C288" s="64" t="s">
        <v>1185</v>
      </c>
    </row>
    <row r="289" spans="1:3">
      <c r="A289" s="72" t="s">
        <v>708</v>
      </c>
      <c r="B289" s="64" t="s">
        <v>1186</v>
      </c>
      <c r="C289" s="64" t="s">
        <v>1186</v>
      </c>
    </row>
    <row r="291" spans="1:3">
      <c r="A291" s="67" t="s">
        <v>718</v>
      </c>
      <c r="B291" s="69" t="s">
        <v>708</v>
      </c>
      <c r="C291" s="69" t="s">
        <v>717</v>
      </c>
    </row>
    <row r="292" spans="1:3">
      <c r="A292" s="72" t="s">
        <v>717</v>
      </c>
      <c r="B292" s="64" t="s">
        <v>1185</v>
      </c>
      <c r="C292" s="64" t="s">
        <v>1186</v>
      </c>
    </row>
    <row r="293" spans="1:3">
      <c r="A293" s="72" t="s">
        <v>708</v>
      </c>
      <c r="B293" s="64" t="s">
        <v>1186</v>
      </c>
      <c r="C293" s="64" t="s">
        <v>1185</v>
      </c>
    </row>
    <row r="294" spans="1:3">
      <c r="A294" s="72" t="s">
        <v>708</v>
      </c>
      <c r="B294" s="64" t="s">
        <v>1186</v>
      </c>
      <c r="C294" s="64" t="s">
        <v>1186</v>
      </c>
    </row>
    <row r="296" spans="1:3">
      <c r="A296" s="67" t="s">
        <v>721</v>
      </c>
      <c r="B296" s="69" t="s">
        <v>708</v>
      </c>
      <c r="C296" s="69" t="s">
        <v>717</v>
      </c>
    </row>
    <row r="297" spans="1:3">
      <c r="A297" s="72" t="s">
        <v>717</v>
      </c>
      <c r="B297" s="64" t="s">
        <v>1185</v>
      </c>
      <c r="C297" s="64" t="s">
        <v>1186</v>
      </c>
    </row>
    <row r="298" spans="1:3">
      <c r="A298" s="72" t="s">
        <v>708</v>
      </c>
      <c r="B298" s="64" t="s">
        <v>1186</v>
      </c>
      <c r="C298" s="64" t="s">
        <v>1185</v>
      </c>
    </row>
    <row r="299" spans="1:3">
      <c r="A299" s="72" t="s">
        <v>708</v>
      </c>
      <c r="B299" s="64" t="s">
        <v>1186</v>
      </c>
      <c r="C299" s="64" t="s">
        <v>1186</v>
      </c>
    </row>
    <row r="301" spans="1:3">
      <c r="A301" s="67" t="s">
        <v>755</v>
      </c>
      <c r="B301" s="69" t="s">
        <v>59</v>
      </c>
    </row>
    <row r="302" spans="1:3">
      <c r="A302" s="64" t="s">
        <v>1187</v>
      </c>
      <c r="B302" s="64" t="s">
        <v>60</v>
      </c>
    </row>
    <row r="303" spans="1:3">
      <c r="A303" s="64" t="s">
        <v>1188</v>
      </c>
      <c r="B303" s="64" t="s">
        <v>160</v>
      </c>
    </row>
    <row r="305" spans="1:2">
      <c r="A305" s="67" t="s">
        <v>769</v>
      </c>
      <c r="B305" s="69" t="s">
        <v>61</v>
      </c>
    </row>
    <row r="306" spans="1:2">
      <c r="A306" s="64" t="s">
        <v>62</v>
      </c>
      <c r="B306" s="64" t="s">
        <v>62</v>
      </c>
    </row>
    <row r="307" spans="1:2">
      <c r="A307" s="64" t="s">
        <v>1189</v>
      </c>
      <c r="B307" s="64" t="s">
        <v>1189</v>
      </c>
    </row>
    <row r="308" spans="1:2">
      <c r="A308" s="64" t="s">
        <v>61</v>
      </c>
      <c r="B308" s="64" t="s">
        <v>61</v>
      </c>
    </row>
    <row r="309" spans="1:2">
      <c r="A309" s="64" t="s">
        <v>1190</v>
      </c>
      <c r="B309" s="64" t="s">
        <v>1190</v>
      </c>
    </row>
    <row r="310" spans="1:2">
      <c r="A310" s="64" t="s">
        <v>1191</v>
      </c>
      <c r="B310" s="64" t="s">
        <v>1191</v>
      </c>
    </row>
    <row r="311" spans="1:2">
      <c r="A311" s="64" t="s">
        <v>1192</v>
      </c>
      <c r="B311" s="64" t="s">
        <v>116</v>
      </c>
    </row>
    <row r="312" spans="1:2">
      <c r="A312" s="64" t="s">
        <v>1192</v>
      </c>
      <c r="B312" s="64" t="s">
        <v>1193</v>
      </c>
    </row>
    <row r="313" spans="1:2">
      <c r="A313" s="64" t="s">
        <v>1192</v>
      </c>
      <c r="B313" s="64" t="s">
        <v>1194</v>
      </c>
    </row>
    <row r="315" spans="1:2">
      <c r="A315" s="67" t="s">
        <v>810</v>
      </c>
      <c r="B315" s="69" t="s">
        <v>812</v>
      </c>
    </row>
    <row r="316" spans="1:2">
      <c r="A316" s="64" t="s">
        <v>1195</v>
      </c>
      <c r="B316" s="64" t="s">
        <v>183</v>
      </c>
    </row>
    <row r="318" spans="1:2">
      <c r="A318" s="67" t="s">
        <v>852</v>
      </c>
      <c r="B318" s="69" t="s">
        <v>197</v>
      </c>
    </row>
    <row r="319" spans="1:2">
      <c r="A319" s="72" t="s">
        <v>195</v>
      </c>
      <c r="B319" s="64" t="s">
        <v>198</v>
      </c>
    </row>
    <row r="320" spans="1:2">
      <c r="A320" s="72" t="s">
        <v>193</v>
      </c>
      <c r="B320" s="64" t="s">
        <v>1196</v>
      </c>
    </row>
    <row r="321" spans="1:4" outlineLevel="1"/>
    <row r="322" spans="1:4">
      <c r="A322" s="67" t="s">
        <v>868</v>
      </c>
      <c r="B322" s="69" t="s">
        <v>865</v>
      </c>
    </row>
    <row r="323" spans="1:4" outlineLevel="1">
      <c r="A323" s="64" t="s">
        <v>1197</v>
      </c>
      <c r="B323" s="64" t="s">
        <v>1198</v>
      </c>
      <c r="D323" s="76"/>
    </row>
    <row r="324" spans="1:4" ht="30" outlineLevel="1">
      <c r="A324" s="64" t="s">
        <v>1199</v>
      </c>
      <c r="B324" s="64" t="s">
        <v>1200</v>
      </c>
      <c r="D324" s="76"/>
    </row>
    <row r="325" spans="1:4" outlineLevel="1">
      <c r="A325" s="64" t="s">
        <v>1201</v>
      </c>
      <c r="B325" s="64" t="s">
        <v>1202</v>
      </c>
      <c r="D325" s="76"/>
    </row>
    <row r="326" spans="1:4" outlineLevel="1">
      <c r="A326" s="64" t="s">
        <v>1203</v>
      </c>
      <c r="B326" s="64" t="s">
        <v>1204</v>
      </c>
      <c r="D326" s="76"/>
    </row>
    <row r="327" spans="1:4" outlineLevel="1">
      <c r="A327" s="64" t="s">
        <v>1205</v>
      </c>
      <c r="B327" s="64" t="s">
        <v>1206</v>
      </c>
      <c r="D327" s="76"/>
    </row>
    <row r="328" spans="1:4" outlineLevel="1">
      <c r="A328" s="64" t="s">
        <v>1197</v>
      </c>
      <c r="B328" s="64" t="s">
        <v>1207</v>
      </c>
      <c r="D328" s="76"/>
    </row>
    <row r="329" spans="1:4" outlineLevel="1">
      <c r="A329" s="64" t="s">
        <v>1201</v>
      </c>
      <c r="B329" s="64" t="s">
        <v>1208</v>
      </c>
      <c r="D329" s="76"/>
    </row>
    <row r="330" spans="1:4" outlineLevel="1">
      <c r="A330" s="64" t="s">
        <v>1203</v>
      </c>
      <c r="B330" s="64" t="s">
        <v>1690</v>
      </c>
      <c r="D330" s="76"/>
    </row>
    <row r="331" spans="1:4" outlineLevel="1">
      <c r="A331" s="64" t="s">
        <v>1205</v>
      </c>
      <c r="B331" s="64" t="s">
        <v>1675</v>
      </c>
      <c r="D331" s="76"/>
    </row>
    <row r="332" spans="1:4" outlineLevel="1">
      <c r="A332" s="64" t="s">
        <v>1205</v>
      </c>
      <c r="B332" s="64" t="s">
        <v>1679</v>
      </c>
      <c r="D332" s="76"/>
    </row>
    <row r="333" spans="1:4" outlineLevel="1">
      <c r="A333" s="64" t="s">
        <v>1197</v>
      </c>
      <c r="B333" s="64" t="s">
        <v>1673</v>
      </c>
      <c r="D333" s="76"/>
    </row>
    <row r="334" spans="1:4" outlineLevel="1">
      <c r="A334" s="64" t="s">
        <v>1197</v>
      </c>
      <c r="B334" s="64" t="s">
        <v>1674</v>
      </c>
      <c r="D334" s="76"/>
    </row>
    <row r="335" spans="1:4" outlineLevel="1">
      <c r="A335" s="64" t="s">
        <v>1201</v>
      </c>
      <c r="B335" s="64" t="s">
        <v>1691</v>
      </c>
      <c r="D335" s="76"/>
    </row>
    <row r="336" spans="1:4" outlineLevel="1">
      <c r="A336" s="64" t="s">
        <v>1197</v>
      </c>
      <c r="B336" s="64" t="s">
        <v>1209</v>
      </c>
      <c r="D336" s="76"/>
    </row>
    <row r="337" spans="1:4" outlineLevel="1">
      <c r="A337" s="64" t="s">
        <v>1199</v>
      </c>
      <c r="B337" s="64" t="s">
        <v>1210</v>
      </c>
      <c r="D337" s="76"/>
    </row>
    <row r="338" spans="1:4" outlineLevel="1">
      <c r="A338" s="64" t="s">
        <v>1201</v>
      </c>
      <c r="B338" s="64" t="s">
        <v>1211</v>
      </c>
      <c r="D338" s="76"/>
    </row>
    <row r="339" spans="1:4" outlineLevel="1">
      <c r="A339" s="64" t="s">
        <v>1203</v>
      </c>
      <c r="B339" s="64" t="s">
        <v>1212</v>
      </c>
      <c r="D339" s="76"/>
    </row>
    <row r="340" spans="1:4" outlineLevel="1">
      <c r="A340" s="64" t="s">
        <v>1205</v>
      </c>
      <c r="B340" s="64" t="s">
        <v>1213</v>
      </c>
      <c r="D340" s="76"/>
    </row>
    <row r="341" spans="1:4" outlineLevel="1">
      <c r="A341" s="64" t="s">
        <v>1201</v>
      </c>
      <c r="B341" s="64" t="s">
        <v>1214</v>
      </c>
      <c r="D341" s="76"/>
    </row>
    <row r="342" spans="1:4" outlineLevel="1">
      <c r="A342" s="64" t="s">
        <v>1201</v>
      </c>
      <c r="B342" s="64" t="s">
        <v>1215</v>
      </c>
      <c r="D342" s="76"/>
    </row>
    <row r="343" spans="1:4" outlineLevel="1">
      <c r="A343" s="64" t="s">
        <v>1197</v>
      </c>
      <c r="B343" s="64" t="s">
        <v>1216</v>
      </c>
      <c r="D343" s="76"/>
    </row>
    <row r="344" spans="1:4" outlineLevel="1">
      <c r="A344" s="64" t="s">
        <v>1201</v>
      </c>
      <c r="B344" s="64" t="s">
        <v>1217</v>
      </c>
      <c r="D344" s="76"/>
    </row>
    <row r="345" spans="1:4" outlineLevel="1">
      <c r="A345" s="64" t="s">
        <v>1197</v>
      </c>
      <c r="B345" s="64" t="s">
        <v>1218</v>
      </c>
      <c r="D345" s="76"/>
    </row>
    <row r="346" spans="1:4" outlineLevel="1">
      <c r="A346" s="64" t="s">
        <v>1197</v>
      </c>
      <c r="B346" s="64" t="s">
        <v>1219</v>
      </c>
      <c r="D346" s="76"/>
    </row>
    <row r="347" spans="1:4" outlineLevel="1">
      <c r="A347" s="64" t="s">
        <v>1199</v>
      </c>
      <c r="B347" s="64" t="s">
        <v>1692</v>
      </c>
      <c r="D347" s="76"/>
    </row>
    <row r="348" spans="1:4" outlineLevel="1">
      <c r="A348" s="64" t="s">
        <v>1201</v>
      </c>
      <c r="B348" s="64" t="s">
        <v>1693</v>
      </c>
      <c r="D348" s="76"/>
    </row>
    <row r="349" spans="1:4" outlineLevel="1">
      <c r="A349" s="64" t="s">
        <v>1197</v>
      </c>
      <c r="B349" s="64" t="s">
        <v>1694</v>
      </c>
      <c r="D349" s="76"/>
    </row>
    <row r="350" spans="1:4" outlineLevel="1">
      <c r="A350" s="64" t="s">
        <v>1205</v>
      </c>
      <c r="B350" s="64" t="s">
        <v>1695</v>
      </c>
      <c r="D350" s="76"/>
    </row>
    <row r="351" spans="1:4" outlineLevel="1">
      <c r="A351" s="64" t="s">
        <v>1205</v>
      </c>
      <c r="B351" s="64" t="s">
        <v>1696</v>
      </c>
      <c r="D351" s="76"/>
    </row>
    <row r="352" spans="1:4" outlineLevel="1">
      <c r="A352" s="64" t="s">
        <v>1197</v>
      </c>
      <c r="B352" s="64" t="s">
        <v>1697</v>
      </c>
      <c r="D352" s="76"/>
    </row>
    <row r="353" spans="1:4" outlineLevel="1">
      <c r="A353" s="64" t="s">
        <v>1201</v>
      </c>
      <c r="B353" s="64" t="s">
        <v>1698</v>
      </c>
      <c r="D353" s="76"/>
    </row>
    <row r="354" spans="1:4" outlineLevel="1">
      <c r="A354" s="64" t="s">
        <v>1197</v>
      </c>
      <c r="B354" s="64" t="s">
        <v>1699</v>
      </c>
      <c r="D354" s="76"/>
    </row>
    <row r="355" spans="1:4" outlineLevel="1">
      <c r="A355" s="64" t="s">
        <v>1197</v>
      </c>
      <c r="B355" s="64" t="s">
        <v>1700</v>
      </c>
      <c r="D355" s="76"/>
    </row>
    <row r="356" spans="1:4" outlineLevel="1">
      <c r="A356" s="64" t="s">
        <v>1197</v>
      </c>
      <c r="B356" s="64" t="s">
        <v>1701</v>
      </c>
      <c r="D356" s="76"/>
    </row>
    <row r="357" spans="1:4" ht="30" outlineLevel="1">
      <c r="A357" s="64" t="s">
        <v>1197</v>
      </c>
      <c r="B357" s="64" t="s">
        <v>1702</v>
      </c>
      <c r="D357" s="76"/>
    </row>
    <row r="358" spans="1:4" outlineLevel="1">
      <c r="A358" s="64" t="s">
        <v>1199</v>
      </c>
      <c r="B358" s="64" t="s">
        <v>1703</v>
      </c>
      <c r="D358" s="76"/>
    </row>
    <row r="359" spans="1:4" outlineLevel="1">
      <c r="A359" s="64" t="s">
        <v>1199</v>
      </c>
      <c r="B359" s="64" t="s">
        <v>1704</v>
      </c>
      <c r="D359" s="76"/>
    </row>
    <row r="360" spans="1:4" ht="30" outlineLevel="1">
      <c r="A360" s="64" t="s">
        <v>1197</v>
      </c>
      <c r="B360" s="64" t="s">
        <v>1220</v>
      </c>
      <c r="D360" s="76"/>
    </row>
    <row r="361" spans="1:4" ht="30" outlineLevel="1">
      <c r="A361" s="64" t="s">
        <v>1221</v>
      </c>
      <c r="B361" s="64" t="s">
        <v>1222</v>
      </c>
      <c r="D361" s="76"/>
    </row>
    <row r="362" spans="1:4" ht="30" outlineLevel="1">
      <c r="A362" s="64" t="s">
        <v>1197</v>
      </c>
      <c r="B362" s="64" t="s">
        <v>1223</v>
      </c>
      <c r="D362" s="76"/>
    </row>
    <row r="363" spans="1:4" ht="30" outlineLevel="1">
      <c r="A363" s="64" t="s">
        <v>1221</v>
      </c>
      <c r="B363" s="64" t="s">
        <v>1224</v>
      </c>
      <c r="D363" s="76"/>
    </row>
    <row r="364" spans="1:4" ht="30" outlineLevel="1">
      <c r="A364" s="64" t="s">
        <v>1199</v>
      </c>
      <c r="B364" s="64" t="s">
        <v>1225</v>
      </c>
      <c r="D364" s="76"/>
    </row>
    <row r="365" spans="1:4" outlineLevel="1">
      <c r="A365" s="64" t="s">
        <v>1197</v>
      </c>
      <c r="B365" s="64" t="s">
        <v>1226</v>
      </c>
      <c r="D365" s="76"/>
    </row>
    <row r="366" spans="1:4" outlineLevel="1">
      <c r="A366" s="64" t="s">
        <v>1197</v>
      </c>
      <c r="B366" s="64" t="s">
        <v>1227</v>
      </c>
      <c r="D366" s="76"/>
    </row>
    <row r="367" spans="1:4" outlineLevel="1">
      <c r="A367" s="64" t="s">
        <v>1199</v>
      </c>
      <c r="B367" s="64" t="s">
        <v>1228</v>
      </c>
      <c r="D367" s="76"/>
    </row>
    <row r="368" spans="1:4" outlineLevel="1">
      <c r="A368" s="64" t="s">
        <v>1203</v>
      </c>
      <c r="B368" s="64" t="s">
        <v>1229</v>
      </c>
      <c r="D368" s="76"/>
    </row>
    <row r="369" spans="1:4" outlineLevel="1">
      <c r="A369" s="64" t="s">
        <v>1205</v>
      </c>
      <c r="B369" s="64" t="s">
        <v>1230</v>
      </c>
      <c r="D369" s="76"/>
    </row>
    <row r="370" spans="1:4" outlineLevel="1">
      <c r="A370" s="64" t="s">
        <v>1197</v>
      </c>
      <c r="B370" s="64" t="s">
        <v>1231</v>
      </c>
      <c r="D370" s="76"/>
    </row>
    <row r="371" spans="1:4" outlineLevel="1">
      <c r="A371" s="64" t="s">
        <v>1201</v>
      </c>
      <c r="B371" s="64" t="s">
        <v>1232</v>
      </c>
      <c r="D371" s="76"/>
    </row>
    <row r="372" spans="1:4" outlineLevel="1">
      <c r="A372" s="64" t="s">
        <v>1201</v>
      </c>
      <c r="B372" s="64" t="s">
        <v>1233</v>
      </c>
      <c r="D372" s="76"/>
    </row>
    <row r="373" spans="1:4" outlineLevel="1">
      <c r="A373" s="64" t="s">
        <v>1201</v>
      </c>
      <c r="B373" s="64" t="s">
        <v>1234</v>
      </c>
      <c r="D373" s="76"/>
    </row>
    <row r="374" spans="1:4" outlineLevel="1">
      <c r="A374" s="64" t="s">
        <v>1197</v>
      </c>
      <c r="B374" s="64" t="s">
        <v>1235</v>
      </c>
      <c r="D374" s="76"/>
    </row>
    <row r="375" spans="1:4" outlineLevel="1">
      <c r="A375" s="64" t="s">
        <v>1197</v>
      </c>
      <c r="B375" s="64" t="s">
        <v>1236</v>
      </c>
      <c r="D375" s="76"/>
    </row>
    <row r="376" spans="1:4" outlineLevel="1">
      <c r="A376" s="64" t="s">
        <v>1199</v>
      </c>
      <c r="B376" s="64" t="s">
        <v>1237</v>
      </c>
      <c r="D376" s="76"/>
    </row>
    <row r="377" spans="1:4" outlineLevel="1">
      <c r="A377" s="64" t="s">
        <v>1201</v>
      </c>
      <c r="B377" s="64" t="s">
        <v>1238</v>
      </c>
      <c r="D377" s="76"/>
    </row>
    <row r="378" spans="1:4" outlineLevel="1">
      <c r="A378" s="64" t="s">
        <v>1203</v>
      </c>
      <c r="B378" s="64" t="s">
        <v>1705</v>
      </c>
      <c r="D378" s="76"/>
    </row>
    <row r="379" spans="1:4" outlineLevel="1">
      <c r="A379" s="64" t="s">
        <v>1205</v>
      </c>
      <c r="B379" s="64" t="s">
        <v>1706</v>
      </c>
      <c r="D379" s="76"/>
    </row>
    <row r="380" spans="1:4" ht="30" outlineLevel="1">
      <c r="A380" s="64" t="s">
        <v>1197</v>
      </c>
      <c r="B380" s="64" t="s">
        <v>1707</v>
      </c>
      <c r="D380" s="76"/>
    </row>
    <row r="381" spans="1:4" ht="30" outlineLevel="1">
      <c r="A381" s="64" t="s">
        <v>1197</v>
      </c>
      <c r="B381" s="64" t="s">
        <v>1708</v>
      </c>
      <c r="D381" s="76"/>
    </row>
    <row r="382" spans="1:4" outlineLevel="1">
      <c r="A382" s="64" t="s">
        <v>1203</v>
      </c>
      <c r="B382" s="64" t="s">
        <v>1239</v>
      </c>
      <c r="D382" s="76"/>
    </row>
    <row r="383" spans="1:4" outlineLevel="1">
      <c r="A383" s="64" t="s">
        <v>1205</v>
      </c>
      <c r="B383" s="64" t="s">
        <v>1240</v>
      </c>
      <c r="D383" s="76"/>
    </row>
    <row r="384" spans="1:4" outlineLevel="1">
      <c r="A384" s="64" t="s">
        <v>1205</v>
      </c>
      <c r="B384" s="64" t="s">
        <v>1241</v>
      </c>
      <c r="D384" s="76"/>
    </row>
    <row r="385" spans="1:4" outlineLevel="1">
      <c r="A385" s="64" t="s">
        <v>1197</v>
      </c>
      <c r="B385" s="64" t="s">
        <v>1242</v>
      </c>
      <c r="D385" s="76"/>
    </row>
    <row r="386" spans="1:4" outlineLevel="1">
      <c r="A386" s="64" t="s">
        <v>1201</v>
      </c>
      <c r="B386" s="64" t="s">
        <v>1243</v>
      </c>
      <c r="D386" s="76"/>
    </row>
    <row r="387" spans="1:4" outlineLevel="1">
      <c r="A387" s="64" t="s">
        <v>1203</v>
      </c>
      <c r="B387" s="64" t="s">
        <v>1677</v>
      </c>
      <c r="D387" s="76"/>
    </row>
    <row r="388" spans="1:4" outlineLevel="1">
      <c r="A388" s="64" t="s">
        <v>1197</v>
      </c>
      <c r="B388" s="64" t="s">
        <v>1676</v>
      </c>
      <c r="D388" s="76"/>
    </row>
    <row r="389" spans="1:4" outlineLevel="1">
      <c r="A389" s="64" t="s">
        <v>1201</v>
      </c>
      <c r="B389" s="64" t="s">
        <v>1678</v>
      </c>
      <c r="D389" s="76"/>
    </row>
    <row r="390" spans="1:4" outlineLevel="1">
      <c r="A390" s="64" t="s">
        <v>1197</v>
      </c>
      <c r="B390" s="64" t="s">
        <v>1672</v>
      </c>
      <c r="D390" s="76"/>
    </row>
    <row r="391" spans="1:4" outlineLevel="1">
      <c r="A391" s="64" t="s">
        <v>1197</v>
      </c>
      <c r="B391" s="64" t="s">
        <v>1709</v>
      </c>
      <c r="D391" s="76"/>
    </row>
    <row r="392" spans="1:4" outlineLevel="1">
      <c r="A392" s="64" t="s">
        <v>1201</v>
      </c>
      <c r="B392" s="64" t="s">
        <v>1710</v>
      </c>
      <c r="D392" s="76"/>
    </row>
    <row r="393" spans="1:4" outlineLevel="1">
      <c r="A393" s="64" t="s">
        <v>1197</v>
      </c>
      <c r="B393" s="64" t="s">
        <v>1711</v>
      </c>
      <c r="D393" s="76"/>
    </row>
    <row r="394" spans="1:4" outlineLevel="1">
      <c r="A394" s="64" t="s">
        <v>1197</v>
      </c>
      <c r="B394" s="64" t="s">
        <v>1244</v>
      </c>
      <c r="D394" s="76"/>
    </row>
    <row r="395" spans="1:4" outlineLevel="1">
      <c r="A395" s="64" t="s">
        <v>1197</v>
      </c>
      <c r="B395" s="64" t="s">
        <v>1245</v>
      </c>
      <c r="D395" s="76"/>
    </row>
    <row r="396" spans="1:4" outlineLevel="1">
      <c r="A396" s="64" t="s">
        <v>1221</v>
      </c>
      <c r="B396" s="64" t="s">
        <v>1246</v>
      </c>
      <c r="D396" s="76"/>
    </row>
    <row r="397" spans="1:4" outlineLevel="1">
      <c r="A397" s="64" t="s">
        <v>1197</v>
      </c>
      <c r="B397" s="64" t="s">
        <v>1247</v>
      </c>
      <c r="D397" s="76"/>
    </row>
    <row r="398" spans="1:4" outlineLevel="1">
      <c r="A398" s="64" t="s">
        <v>1197</v>
      </c>
      <c r="B398" s="64" t="s">
        <v>1248</v>
      </c>
      <c r="D398" s="76"/>
    </row>
    <row r="399" spans="1:4" outlineLevel="1">
      <c r="A399" s="64" t="s">
        <v>1221</v>
      </c>
      <c r="B399" s="64" t="s">
        <v>1249</v>
      </c>
      <c r="D399" s="76"/>
    </row>
    <row r="400" spans="1:4" outlineLevel="1">
      <c r="A400" s="64" t="s">
        <v>1221</v>
      </c>
      <c r="B400" s="64" t="s">
        <v>1250</v>
      </c>
      <c r="D400" s="76"/>
    </row>
    <row r="401" spans="1:4" outlineLevel="1">
      <c r="A401" s="64" t="s">
        <v>1221</v>
      </c>
      <c r="B401" s="64" t="s">
        <v>1251</v>
      </c>
      <c r="D401" s="76"/>
    </row>
    <row r="402" spans="1:4" outlineLevel="1">
      <c r="A402" s="64" t="s">
        <v>1197</v>
      </c>
      <c r="B402" s="64" t="s">
        <v>1712</v>
      </c>
      <c r="D402" s="76"/>
    </row>
    <row r="403" spans="1:4" ht="30" outlineLevel="1">
      <c r="A403" s="64" t="s">
        <v>1199</v>
      </c>
      <c r="B403" s="64" t="s">
        <v>1713</v>
      </c>
      <c r="D403" s="76"/>
    </row>
    <row r="404" spans="1:4" outlineLevel="1">
      <c r="A404" s="64" t="s">
        <v>1197</v>
      </c>
      <c r="B404" s="64" t="s">
        <v>1714</v>
      </c>
      <c r="D404" s="76"/>
    </row>
    <row r="405" spans="1:4" outlineLevel="1">
      <c r="A405" s="64" t="s">
        <v>1199</v>
      </c>
      <c r="B405" s="64" t="s">
        <v>1715</v>
      </c>
      <c r="D405" s="76"/>
    </row>
    <row r="406" spans="1:4" outlineLevel="1">
      <c r="A406" s="64" t="s">
        <v>1197</v>
      </c>
      <c r="B406" s="64" t="s">
        <v>1716</v>
      </c>
      <c r="D406" s="76"/>
    </row>
    <row r="407" spans="1:4" outlineLevel="1">
      <c r="A407" s="64" t="s">
        <v>1197</v>
      </c>
      <c r="B407" s="64" t="s">
        <v>1717</v>
      </c>
      <c r="D407" s="76"/>
    </row>
    <row r="408" spans="1:4" ht="30" outlineLevel="1">
      <c r="A408" s="64" t="s">
        <v>1197</v>
      </c>
      <c r="B408" s="64" t="s">
        <v>1718</v>
      </c>
      <c r="D408" s="76"/>
    </row>
    <row r="409" spans="1:4" outlineLevel="1">
      <c r="A409" s="64" t="s">
        <v>1205</v>
      </c>
      <c r="B409" s="64" t="s">
        <v>1719</v>
      </c>
      <c r="D409" s="76"/>
    </row>
    <row r="410" spans="1:4" outlineLevel="1">
      <c r="A410" s="64" t="s">
        <v>1205</v>
      </c>
      <c r="B410" s="64" t="s">
        <v>1720</v>
      </c>
      <c r="D410" s="76"/>
    </row>
    <row r="411" spans="1:4" outlineLevel="1">
      <c r="A411" s="64" t="s">
        <v>1197</v>
      </c>
      <c r="B411" s="64" t="s">
        <v>1721</v>
      </c>
      <c r="D411" s="76"/>
    </row>
    <row r="412" spans="1:4" ht="30" outlineLevel="1">
      <c r="A412" s="64" t="s">
        <v>1197</v>
      </c>
      <c r="B412" s="64" t="s">
        <v>1722</v>
      </c>
      <c r="D412" s="76"/>
    </row>
    <row r="413" spans="1:4" outlineLevel="1">
      <c r="A413" s="64" t="s">
        <v>1203</v>
      </c>
      <c r="B413" s="64" t="s">
        <v>1723</v>
      </c>
      <c r="D413" s="76"/>
    </row>
    <row r="414" spans="1:4" outlineLevel="1"/>
    <row r="415" spans="1:4">
      <c r="A415" s="67" t="s">
        <v>870</v>
      </c>
      <c r="B415" s="69" t="s">
        <v>865</v>
      </c>
    </row>
    <row r="416" spans="1:4" outlineLevel="1">
      <c r="A416" s="64" t="s">
        <v>1252</v>
      </c>
      <c r="B416" s="64" t="s">
        <v>1198</v>
      </c>
      <c r="D416" s="76"/>
    </row>
    <row r="417" spans="1:4" ht="30" outlineLevel="1">
      <c r="A417" s="64" t="s">
        <v>1253</v>
      </c>
      <c r="B417" s="64" t="s">
        <v>1200</v>
      </c>
      <c r="D417" s="76"/>
    </row>
    <row r="418" spans="1:4" outlineLevel="1">
      <c r="A418" s="64" t="s">
        <v>1254</v>
      </c>
      <c r="B418" s="64" t="s">
        <v>1202</v>
      </c>
      <c r="D418" s="76"/>
    </row>
    <row r="419" spans="1:4" outlineLevel="1">
      <c r="A419" s="64" t="s">
        <v>1255</v>
      </c>
      <c r="B419" s="64" t="s">
        <v>1204</v>
      </c>
      <c r="D419" s="76"/>
    </row>
    <row r="420" spans="1:4" outlineLevel="1">
      <c r="A420" s="64" t="s">
        <v>1256</v>
      </c>
      <c r="B420" s="64" t="s">
        <v>1206</v>
      </c>
      <c r="D420" s="76"/>
    </row>
    <row r="421" spans="1:4" outlineLevel="1">
      <c r="A421" s="64" t="s">
        <v>1257</v>
      </c>
      <c r="B421" s="64" t="s">
        <v>1207</v>
      </c>
      <c r="D421" s="76"/>
    </row>
    <row r="422" spans="1:4" outlineLevel="1">
      <c r="A422" s="64" t="s">
        <v>1258</v>
      </c>
      <c r="B422" s="64" t="s">
        <v>1208</v>
      </c>
      <c r="D422" s="76"/>
    </row>
    <row r="423" spans="1:4" outlineLevel="1">
      <c r="A423" s="64" t="s">
        <v>1259</v>
      </c>
      <c r="B423" s="64" t="s">
        <v>1690</v>
      </c>
      <c r="D423" s="76"/>
    </row>
    <row r="424" spans="1:4" outlineLevel="1">
      <c r="A424" s="64" t="s">
        <v>1260</v>
      </c>
      <c r="B424" s="64" t="s">
        <v>1675</v>
      </c>
      <c r="D424" s="76"/>
    </row>
    <row r="425" spans="1:4" outlineLevel="1">
      <c r="A425" s="64" t="s">
        <v>1261</v>
      </c>
      <c r="B425" s="64" t="s">
        <v>1679</v>
      </c>
      <c r="D425" s="76"/>
    </row>
    <row r="426" spans="1:4" outlineLevel="1">
      <c r="A426" s="64" t="s">
        <v>1262</v>
      </c>
      <c r="B426" s="64" t="s">
        <v>1673</v>
      </c>
      <c r="D426" s="76"/>
    </row>
    <row r="427" spans="1:4" outlineLevel="1">
      <c r="A427" s="64" t="s">
        <v>1263</v>
      </c>
      <c r="B427" s="64" t="s">
        <v>1674</v>
      </c>
      <c r="D427" s="76"/>
    </row>
    <row r="428" spans="1:4" outlineLevel="1">
      <c r="A428" s="64" t="s">
        <v>1264</v>
      </c>
      <c r="B428" s="64" t="s">
        <v>1691</v>
      </c>
      <c r="D428" s="76"/>
    </row>
    <row r="429" spans="1:4" outlineLevel="1">
      <c r="A429" s="64" t="s">
        <v>1265</v>
      </c>
      <c r="B429" s="64" t="s">
        <v>1209</v>
      </c>
      <c r="D429" s="76"/>
    </row>
    <row r="430" spans="1:4" outlineLevel="1">
      <c r="A430" s="64" t="s">
        <v>1266</v>
      </c>
      <c r="B430" s="64" t="s">
        <v>1210</v>
      </c>
      <c r="D430" s="76"/>
    </row>
    <row r="431" spans="1:4" outlineLevel="1">
      <c r="A431" s="64" t="s">
        <v>1267</v>
      </c>
      <c r="B431" s="64" t="s">
        <v>1211</v>
      </c>
      <c r="D431" s="76"/>
    </row>
    <row r="432" spans="1:4" outlineLevel="1">
      <c r="A432" s="64" t="s">
        <v>1268</v>
      </c>
      <c r="B432" s="64" t="s">
        <v>1212</v>
      </c>
      <c r="D432" s="76"/>
    </row>
    <row r="433" spans="1:4" outlineLevel="1">
      <c r="A433" s="64" t="s">
        <v>1269</v>
      </c>
      <c r="B433" s="64" t="s">
        <v>1213</v>
      </c>
      <c r="D433" s="76"/>
    </row>
    <row r="434" spans="1:4" outlineLevel="1">
      <c r="A434" s="64" t="s">
        <v>1270</v>
      </c>
      <c r="B434" s="64" t="s">
        <v>1214</v>
      </c>
      <c r="D434" s="76"/>
    </row>
    <row r="435" spans="1:4" outlineLevel="1">
      <c r="A435" s="64" t="s">
        <v>1271</v>
      </c>
      <c r="B435" s="64" t="s">
        <v>1215</v>
      </c>
      <c r="D435" s="76"/>
    </row>
    <row r="436" spans="1:4" outlineLevel="1">
      <c r="A436" s="64" t="s">
        <v>1272</v>
      </c>
      <c r="B436" s="64" t="s">
        <v>1216</v>
      </c>
      <c r="D436" s="76"/>
    </row>
    <row r="437" spans="1:4" outlineLevel="1">
      <c r="A437" s="64" t="s">
        <v>1273</v>
      </c>
      <c r="B437" s="64" t="s">
        <v>1217</v>
      </c>
      <c r="D437" s="76"/>
    </row>
    <row r="438" spans="1:4" outlineLevel="1">
      <c r="A438" s="64" t="s">
        <v>1274</v>
      </c>
      <c r="B438" s="64" t="s">
        <v>1218</v>
      </c>
      <c r="D438" s="76"/>
    </row>
    <row r="439" spans="1:4" outlineLevel="1">
      <c r="A439" s="64" t="s">
        <v>1275</v>
      </c>
      <c r="B439" s="64" t="s">
        <v>1219</v>
      </c>
      <c r="D439" s="76"/>
    </row>
    <row r="440" spans="1:4" outlineLevel="1">
      <c r="A440" s="64" t="s">
        <v>1276</v>
      </c>
      <c r="B440" s="64" t="s">
        <v>1692</v>
      </c>
      <c r="D440" s="76"/>
    </row>
    <row r="441" spans="1:4" outlineLevel="1">
      <c r="A441" s="64" t="s">
        <v>1277</v>
      </c>
      <c r="B441" s="64" t="s">
        <v>1693</v>
      </c>
      <c r="D441" s="76"/>
    </row>
    <row r="442" spans="1:4" outlineLevel="1">
      <c r="A442" s="64" t="s">
        <v>1278</v>
      </c>
      <c r="B442" s="64" t="s">
        <v>1694</v>
      </c>
      <c r="D442" s="76"/>
    </row>
    <row r="443" spans="1:4" outlineLevel="1">
      <c r="A443" s="64" t="s">
        <v>1279</v>
      </c>
      <c r="B443" s="64" t="s">
        <v>1695</v>
      </c>
      <c r="D443" s="76"/>
    </row>
    <row r="444" spans="1:4" outlineLevel="1">
      <c r="A444" s="64" t="s">
        <v>1280</v>
      </c>
      <c r="B444" s="64" t="s">
        <v>1696</v>
      </c>
      <c r="D444" s="76"/>
    </row>
    <row r="445" spans="1:4" outlineLevel="1">
      <c r="A445" s="64" t="s">
        <v>1281</v>
      </c>
      <c r="B445" s="64" t="s">
        <v>1697</v>
      </c>
      <c r="D445" s="76"/>
    </row>
    <row r="446" spans="1:4" outlineLevel="1">
      <c r="A446" s="64" t="s">
        <v>1282</v>
      </c>
      <c r="B446" s="64" t="s">
        <v>1698</v>
      </c>
      <c r="D446" s="76"/>
    </row>
    <row r="447" spans="1:4" outlineLevel="1">
      <c r="A447" s="64" t="s">
        <v>1283</v>
      </c>
      <c r="B447" s="64" t="s">
        <v>1699</v>
      </c>
      <c r="D447" s="76"/>
    </row>
    <row r="448" spans="1:4" outlineLevel="1">
      <c r="A448" s="64" t="s">
        <v>1284</v>
      </c>
      <c r="B448" s="64" t="s">
        <v>1700</v>
      </c>
      <c r="D448" s="76"/>
    </row>
    <row r="449" spans="1:4" outlineLevel="1">
      <c r="A449" s="64" t="s">
        <v>1285</v>
      </c>
      <c r="B449" s="64" t="s">
        <v>1701</v>
      </c>
      <c r="D449" s="76"/>
    </row>
    <row r="450" spans="1:4" ht="30" outlineLevel="1">
      <c r="A450" s="64" t="s">
        <v>1286</v>
      </c>
      <c r="B450" s="64" t="s">
        <v>1702</v>
      </c>
      <c r="D450" s="76"/>
    </row>
    <row r="451" spans="1:4" outlineLevel="1">
      <c r="A451" s="64" t="s">
        <v>1287</v>
      </c>
      <c r="B451" s="64" t="s">
        <v>1703</v>
      </c>
      <c r="D451" s="76"/>
    </row>
    <row r="452" spans="1:4" outlineLevel="1">
      <c r="A452" s="64" t="s">
        <v>1288</v>
      </c>
      <c r="B452" s="64" t="s">
        <v>1704</v>
      </c>
      <c r="D452" s="76"/>
    </row>
    <row r="453" spans="1:4" ht="30" outlineLevel="1">
      <c r="A453" s="64" t="s">
        <v>1289</v>
      </c>
      <c r="B453" s="64" t="s">
        <v>1220</v>
      </c>
      <c r="D453" s="76"/>
    </row>
    <row r="454" spans="1:4" ht="30" outlineLevel="1">
      <c r="A454" s="64" t="s">
        <v>1290</v>
      </c>
      <c r="B454" s="64" t="s">
        <v>1222</v>
      </c>
      <c r="D454" s="76"/>
    </row>
    <row r="455" spans="1:4" ht="30" outlineLevel="1">
      <c r="A455" s="64" t="s">
        <v>1291</v>
      </c>
      <c r="B455" s="64" t="s">
        <v>1223</v>
      </c>
      <c r="D455" s="76"/>
    </row>
    <row r="456" spans="1:4" ht="30" outlineLevel="1">
      <c r="A456" s="64" t="s">
        <v>1292</v>
      </c>
      <c r="B456" s="64" t="s">
        <v>1224</v>
      </c>
      <c r="D456" s="76"/>
    </row>
    <row r="457" spans="1:4" ht="30" outlineLevel="1">
      <c r="A457" s="64" t="s">
        <v>1293</v>
      </c>
      <c r="B457" s="64" t="s">
        <v>1225</v>
      </c>
      <c r="D457" s="76"/>
    </row>
    <row r="458" spans="1:4" outlineLevel="1">
      <c r="A458" s="64" t="s">
        <v>1294</v>
      </c>
      <c r="B458" s="64" t="s">
        <v>1226</v>
      </c>
      <c r="D458" s="76"/>
    </row>
    <row r="459" spans="1:4" outlineLevel="1">
      <c r="A459" s="64" t="s">
        <v>1295</v>
      </c>
      <c r="B459" s="64" t="s">
        <v>1227</v>
      </c>
      <c r="D459" s="76"/>
    </row>
    <row r="460" spans="1:4" outlineLevel="1">
      <c r="A460" s="64" t="s">
        <v>1296</v>
      </c>
      <c r="B460" s="64" t="s">
        <v>1228</v>
      </c>
      <c r="D460" s="76"/>
    </row>
    <row r="461" spans="1:4" outlineLevel="1">
      <c r="A461" s="64" t="s">
        <v>1297</v>
      </c>
      <c r="B461" s="64" t="s">
        <v>1229</v>
      </c>
      <c r="D461" s="76"/>
    </row>
    <row r="462" spans="1:4" outlineLevel="1">
      <c r="A462" s="64" t="s">
        <v>1298</v>
      </c>
      <c r="B462" s="64" t="s">
        <v>1230</v>
      </c>
      <c r="D462" s="76"/>
    </row>
    <row r="463" spans="1:4" outlineLevel="1">
      <c r="A463" s="64" t="s">
        <v>1299</v>
      </c>
      <c r="B463" s="64" t="s">
        <v>1231</v>
      </c>
      <c r="D463" s="76"/>
    </row>
    <row r="464" spans="1:4" outlineLevel="1">
      <c r="A464" s="64" t="s">
        <v>1300</v>
      </c>
      <c r="B464" s="64" t="s">
        <v>1232</v>
      </c>
      <c r="D464" s="76"/>
    </row>
    <row r="465" spans="1:4" outlineLevel="1">
      <c r="A465" s="64" t="s">
        <v>1301</v>
      </c>
      <c r="B465" s="64" t="s">
        <v>1233</v>
      </c>
      <c r="D465" s="76"/>
    </row>
    <row r="466" spans="1:4" outlineLevel="1">
      <c r="A466" s="64" t="s">
        <v>1302</v>
      </c>
      <c r="B466" s="64" t="s">
        <v>1234</v>
      </c>
      <c r="D466" s="76"/>
    </row>
    <row r="467" spans="1:4" outlineLevel="1">
      <c r="A467" s="64" t="s">
        <v>1303</v>
      </c>
      <c r="B467" s="64" t="s">
        <v>1235</v>
      </c>
      <c r="D467" s="76"/>
    </row>
    <row r="468" spans="1:4" outlineLevel="1">
      <c r="A468" s="64" t="s">
        <v>1304</v>
      </c>
      <c r="B468" s="64" t="s">
        <v>1236</v>
      </c>
      <c r="D468" s="76"/>
    </row>
    <row r="469" spans="1:4" outlineLevel="1">
      <c r="A469" s="64" t="s">
        <v>1305</v>
      </c>
      <c r="B469" s="64" t="s">
        <v>1237</v>
      </c>
      <c r="D469" s="76"/>
    </row>
    <row r="470" spans="1:4" outlineLevel="1">
      <c r="A470" s="64" t="s">
        <v>1306</v>
      </c>
      <c r="B470" s="64" t="s">
        <v>1238</v>
      </c>
      <c r="D470" s="76"/>
    </row>
    <row r="471" spans="1:4" outlineLevel="1">
      <c r="A471" s="64" t="s">
        <v>1307</v>
      </c>
      <c r="B471" s="64" t="s">
        <v>1705</v>
      </c>
      <c r="D471" s="76"/>
    </row>
    <row r="472" spans="1:4" outlineLevel="1">
      <c r="A472" s="64" t="s">
        <v>1724</v>
      </c>
      <c r="B472" s="64" t="s">
        <v>1706</v>
      </c>
      <c r="D472" s="76"/>
    </row>
    <row r="473" spans="1:4" ht="30" outlineLevel="1">
      <c r="A473" s="64" t="s">
        <v>1308</v>
      </c>
      <c r="B473" s="64" t="s">
        <v>1707</v>
      </c>
      <c r="D473" s="76"/>
    </row>
    <row r="474" spans="1:4" ht="30" outlineLevel="1">
      <c r="A474" s="64" t="s">
        <v>1309</v>
      </c>
      <c r="B474" s="64" t="s">
        <v>1708</v>
      </c>
      <c r="D474" s="76"/>
    </row>
    <row r="475" spans="1:4" outlineLevel="1">
      <c r="A475" s="64" t="s">
        <v>1310</v>
      </c>
      <c r="B475" s="64" t="s">
        <v>1239</v>
      </c>
      <c r="D475" s="76"/>
    </row>
    <row r="476" spans="1:4" outlineLevel="1">
      <c r="A476" s="64" t="s">
        <v>1311</v>
      </c>
      <c r="B476" s="64" t="s">
        <v>1240</v>
      </c>
      <c r="D476" s="76"/>
    </row>
    <row r="477" spans="1:4" outlineLevel="1">
      <c r="A477" s="64" t="s">
        <v>1312</v>
      </c>
      <c r="B477" s="64" t="s">
        <v>1241</v>
      </c>
      <c r="D477" s="76"/>
    </row>
    <row r="478" spans="1:4" outlineLevel="1">
      <c r="A478" s="64" t="s">
        <v>1313</v>
      </c>
      <c r="B478" s="64" t="s">
        <v>1242</v>
      </c>
      <c r="D478" s="76"/>
    </row>
    <row r="479" spans="1:4" outlineLevel="1">
      <c r="A479" s="64" t="s">
        <v>1314</v>
      </c>
      <c r="B479" s="64" t="s">
        <v>1243</v>
      </c>
      <c r="D479" s="76"/>
    </row>
    <row r="480" spans="1:4" outlineLevel="1">
      <c r="A480" s="64" t="s">
        <v>1680</v>
      </c>
      <c r="B480" s="64" t="s">
        <v>1677</v>
      </c>
      <c r="D480" s="76"/>
    </row>
    <row r="481" spans="1:4" outlineLevel="1">
      <c r="A481" s="64" t="s">
        <v>1274</v>
      </c>
      <c r="B481" s="64" t="s">
        <v>1676</v>
      </c>
      <c r="D481" s="76"/>
    </row>
    <row r="482" spans="1:4" outlineLevel="1">
      <c r="A482" s="64" t="s">
        <v>1681</v>
      </c>
      <c r="B482" s="64" t="s">
        <v>1678</v>
      </c>
      <c r="D482" s="76"/>
    </row>
    <row r="483" spans="1:4" outlineLevel="1">
      <c r="A483" s="64" t="s">
        <v>1315</v>
      </c>
      <c r="B483" s="64" t="s">
        <v>1672</v>
      </c>
      <c r="D483" s="76"/>
    </row>
    <row r="484" spans="1:4" outlineLevel="1">
      <c r="A484" s="64" t="s">
        <v>1316</v>
      </c>
      <c r="B484" s="64" t="s">
        <v>1709</v>
      </c>
      <c r="D484" s="76"/>
    </row>
    <row r="485" spans="1:4" outlineLevel="1">
      <c r="A485" s="64" t="s">
        <v>1317</v>
      </c>
      <c r="B485" s="64" t="s">
        <v>1710</v>
      </c>
      <c r="D485" s="76"/>
    </row>
    <row r="486" spans="1:4" outlineLevel="1">
      <c r="A486" s="64" t="s">
        <v>1318</v>
      </c>
      <c r="B486" s="64" t="s">
        <v>1703</v>
      </c>
      <c r="D486" s="76"/>
    </row>
    <row r="487" spans="1:4" outlineLevel="1">
      <c r="A487" s="64" t="s">
        <v>1319</v>
      </c>
      <c r="B487" s="64" t="s">
        <v>1711</v>
      </c>
      <c r="D487" s="76"/>
    </row>
    <row r="488" spans="1:4" outlineLevel="1">
      <c r="A488" s="64" t="s">
        <v>1320</v>
      </c>
      <c r="B488" s="64" t="s">
        <v>1244</v>
      </c>
      <c r="D488" s="76"/>
    </row>
    <row r="489" spans="1:4" outlineLevel="1">
      <c r="A489" s="64" t="s">
        <v>1321</v>
      </c>
      <c r="B489" s="64" t="s">
        <v>1245</v>
      </c>
      <c r="D489" s="76"/>
    </row>
    <row r="490" spans="1:4" outlineLevel="1">
      <c r="A490" s="64" t="s">
        <v>1322</v>
      </c>
      <c r="B490" s="64" t="s">
        <v>1246</v>
      </c>
      <c r="D490" s="76"/>
    </row>
    <row r="491" spans="1:4" outlineLevel="1">
      <c r="A491" s="64" t="s">
        <v>1323</v>
      </c>
      <c r="B491" s="64" t="s">
        <v>1247</v>
      </c>
      <c r="D491" s="76"/>
    </row>
    <row r="492" spans="1:4" outlineLevel="1">
      <c r="A492" s="64" t="s">
        <v>1324</v>
      </c>
      <c r="B492" s="64" t="s">
        <v>1248</v>
      </c>
      <c r="D492" s="76"/>
    </row>
    <row r="493" spans="1:4" outlineLevel="1">
      <c r="A493" s="64" t="s">
        <v>1325</v>
      </c>
      <c r="B493" s="64" t="s">
        <v>1249</v>
      </c>
      <c r="D493" s="76"/>
    </row>
    <row r="494" spans="1:4" outlineLevel="1">
      <c r="A494" s="64" t="s">
        <v>1326</v>
      </c>
      <c r="B494" s="64" t="s">
        <v>1250</v>
      </c>
      <c r="D494" s="76"/>
    </row>
    <row r="495" spans="1:4" outlineLevel="1">
      <c r="A495" s="64" t="s">
        <v>1327</v>
      </c>
      <c r="B495" s="64" t="s">
        <v>1251</v>
      </c>
      <c r="D495" s="76"/>
    </row>
    <row r="496" spans="1:4" outlineLevel="1">
      <c r="A496" s="64" t="s">
        <v>1303</v>
      </c>
      <c r="B496" s="64" t="s">
        <v>1672</v>
      </c>
      <c r="D496" s="76"/>
    </row>
    <row r="497" spans="1:4" outlineLevel="1">
      <c r="A497" s="64" t="s">
        <v>1328</v>
      </c>
      <c r="B497" s="64" t="s">
        <v>1712</v>
      </c>
      <c r="D497" s="76"/>
    </row>
    <row r="498" spans="1:4" outlineLevel="1">
      <c r="A498" s="64" t="s">
        <v>1329</v>
      </c>
      <c r="B498" s="64" t="s">
        <v>1694</v>
      </c>
      <c r="D498" s="76"/>
    </row>
    <row r="499" spans="1:4" ht="30" outlineLevel="1">
      <c r="A499" s="64" t="s">
        <v>1330</v>
      </c>
      <c r="B499" s="64" t="s">
        <v>1713</v>
      </c>
      <c r="D499" s="76"/>
    </row>
    <row r="500" spans="1:4" outlineLevel="1">
      <c r="A500" s="64" t="s">
        <v>1331</v>
      </c>
      <c r="B500" s="64" t="s">
        <v>1714</v>
      </c>
      <c r="D500" s="76"/>
    </row>
    <row r="501" spans="1:4" outlineLevel="1">
      <c r="A501" s="64" t="s">
        <v>1332</v>
      </c>
      <c r="B501" s="64" t="s">
        <v>1672</v>
      </c>
      <c r="D501" s="76"/>
    </row>
    <row r="502" spans="1:4" outlineLevel="1">
      <c r="A502" s="64" t="s">
        <v>1333</v>
      </c>
      <c r="B502" s="64" t="s">
        <v>1715</v>
      </c>
      <c r="D502" s="76"/>
    </row>
    <row r="503" spans="1:4" outlineLevel="1">
      <c r="A503" s="64" t="s">
        <v>1725</v>
      </c>
      <c r="B503" s="64" t="s">
        <v>1716</v>
      </c>
      <c r="D503" s="76"/>
    </row>
    <row r="504" spans="1:4" outlineLevel="1">
      <c r="A504" s="64" t="s">
        <v>1726</v>
      </c>
      <c r="B504" s="64" t="s">
        <v>1717</v>
      </c>
      <c r="D504" s="76"/>
    </row>
    <row r="505" spans="1:4" ht="30" outlineLevel="1">
      <c r="A505" s="64" t="s">
        <v>1727</v>
      </c>
      <c r="B505" s="64" t="s">
        <v>1718</v>
      </c>
      <c r="D505" s="76"/>
    </row>
    <row r="506" spans="1:4" outlineLevel="1">
      <c r="A506" s="64" t="s">
        <v>1728</v>
      </c>
      <c r="B506" s="64" t="s">
        <v>1719</v>
      </c>
      <c r="D506" s="76"/>
    </row>
    <row r="507" spans="1:4" outlineLevel="1">
      <c r="A507" s="64" t="s">
        <v>1729</v>
      </c>
      <c r="B507" s="64" t="s">
        <v>1720</v>
      </c>
      <c r="D507" s="76"/>
    </row>
    <row r="508" spans="1:4" outlineLevel="1">
      <c r="A508" s="64" t="s">
        <v>1730</v>
      </c>
      <c r="B508" s="64" t="s">
        <v>1721</v>
      </c>
      <c r="D508" s="76"/>
    </row>
    <row r="509" spans="1:4" ht="30" outlineLevel="1">
      <c r="A509" s="64" t="s">
        <v>1731</v>
      </c>
      <c r="B509" s="64" t="s">
        <v>1722</v>
      </c>
      <c r="D509" s="76"/>
    </row>
    <row r="510" spans="1:4" outlineLevel="1">
      <c r="A510" s="64" t="s">
        <v>1732</v>
      </c>
      <c r="B510" s="64" t="s">
        <v>1723</v>
      </c>
      <c r="D510" s="76"/>
    </row>
    <row r="511" spans="1:4" outlineLevel="1">
      <c r="A511" s="64"/>
      <c r="B511" s="64"/>
      <c r="D511" s="76"/>
    </row>
    <row r="512" spans="1:4" ht="30">
      <c r="A512" s="67" t="s">
        <v>875</v>
      </c>
      <c r="B512" s="69" t="s">
        <v>872</v>
      </c>
    </row>
    <row r="513" spans="1:4">
      <c r="A513" s="64" t="b">
        <v>1</v>
      </c>
      <c r="B513" s="64" t="s">
        <v>343</v>
      </c>
      <c r="D513" s="77"/>
    </row>
    <row r="514" spans="1:4">
      <c r="A514" s="64" t="b">
        <v>0</v>
      </c>
      <c r="B514" s="64" t="s">
        <v>345</v>
      </c>
      <c r="D514" s="77"/>
    </row>
    <row r="515" spans="1:4">
      <c r="A515" s="64" t="b">
        <v>0</v>
      </c>
      <c r="B515" s="64" t="s">
        <v>1682</v>
      </c>
      <c r="D515" s="77"/>
    </row>
    <row r="516" spans="1:4">
      <c r="A516" s="64" t="b">
        <v>0</v>
      </c>
      <c r="B516" s="64" t="s">
        <v>1683</v>
      </c>
      <c r="D516" s="77"/>
    </row>
    <row r="517" spans="1:4">
      <c r="D517" s="77"/>
    </row>
    <row r="518" spans="1:4" ht="30">
      <c r="A518" s="67" t="s">
        <v>873</v>
      </c>
      <c r="B518" s="67" t="s">
        <v>875</v>
      </c>
    </row>
    <row r="519" spans="1:4">
      <c r="A519" s="64" t="b">
        <v>1</v>
      </c>
      <c r="B519" s="64" t="b">
        <v>0</v>
      </c>
    </row>
    <row r="521" spans="1:4">
      <c r="A521" s="67" t="s">
        <v>888</v>
      </c>
      <c r="B521" s="69" t="s">
        <v>886</v>
      </c>
    </row>
    <row r="522" spans="1:4" outlineLevel="1">
      <c r="A522" s="64" t="s">
        <v>1334</v>
      </c>
      <c r="B522" s="64" t="s">
        <v>1733</v>
      </c>
    </row>
    <row r="523" spans="1:4" outlineLevel="1">
      <c r="A523" s="64" t="s">
        <v>1334</v>
      </c>
      <c r="B523" s="64" t="s">
        <v>1734</v>
      </c>
    </row>
    <row r="524" spans="1:4" outlineLevel="1">
      <c r="A524" s="64" t="s">
        <v>1335</v>
      </c>
      <c r="B524" s="64" t="s">
        <v>1735</v>
      </c>
    </row>
    <row r="525" spans="1:4" outlineLevel="1">
      <c r="A525" s="64" t="s">
        <v>1334</v>
      </c>
      <c r="B525" s="64" t="s">
        <v>1736</v>
      </c>
    </row>
    <row r="526" spans="1:4" outlineLevel="1">
      <c r="A526" s="64" t="s">
        <v>1334</v>
      </c>
      <c r="B526" s="64" t="s">
        <v>1737</v>
      </c>
    </row>
    <row r="527" spans="1:4" outlineLevel="1">
      <c r="A527" s="64" t="s">
        <v>1334</v>
      </c>
      <c r="B527" s="64" t="s">
        <v>1738</v>
      </c>
    </row>
    <row r="528" spans="1:4" outlineLevel="1">
      <c r="A528" s="64" t="s">
        <v>1334</v>
      </c>
      <c r="B528" s="64" t="s">
        <v>1739</v>
      </c>
    </row>
    <row r="529" spans="1:5" outlineLevel="1"/>
    <row r="530" spans="1:5">
      <c r="A530" s="67" t="s">
        <v>890</v>
      </c>
      <c r="B530" s="69" t="s">
        <v>886</v>
      </c>
      <c r="D530" s="71"/>
      <c r="E530" s="71"/>
    </row>
    <row r="531" spans="1:5" outlineLevel="1">
      <c r="A531" s="64" t="s">
        <v>1336</v>
      </c>
      <c r="B531" s="64" t="s">
        <v>1733</v>
      </c>
    </row>
    <row r="532" spans="1:5" outlineLevel="1">
      <c r="A532" s="64" t="s">
        <v>1337</v>
      </c>
      <c r="B532" s="64" t="s">
        <v>1734</v>
      </c>
    </row>
    <row r="533" spans="1:5" outlineLevel="1">
      <c r="A533" s="64" t="s">
        <v>1338</v>
      </c>
      <c r="B533" s="64" t="s">
        <v>1735</v>
      </c>
    </row>
    <row r="534" spans="1:5" outlineLevel="1">
      <c r="A534" s="64" t="s">
        <v>1339</v>
      </c>
      <c r="B534" s="64" t="s">
        <v>1736</v>
      </c>
    </row>
    <row r="535" spans="1:5" outlineLevel="1">
      <c r="A535" s="64" t="s">
        <v>1740</v>
      </c>
      <c r="B535" s="64" t="s">
        <v>1737</v>
      </c>
    </row>
    <row r="536" spans="1:5" outlineLevel="1">
      <c r="A536" s="64" t="s">
        <v>1741</v>
      </c>
      <c r="B536" s="64" t="s">
        <v>1738</v>
      </c>
    </row>
    <row r="537" spans="1:5" outlineLevel="1">
      <c r="A537" s="64" t="s">
        <v>1742</v>
      </c>
      <c r="B537" s="64" t="s">
        <v>1739</v>
      </c>
    </row>
    <row r="538" spans="1:5">
      <c r="D538" s="77"/>
    </row>
    <row r="539" spans="1:5" ht="30">
      <c r="A539" s="67" t="s">
        <v>895</v>
      </c>
      <c r="B539" s="69" t="s">
        <v>892</v>
      </c>
      <c r="D539" s="77"/>
    </row>
    <row r="540" spans="1:5">
      <c r="A540" s="64" t="b">
        <v>1</v>
      </c>
      <c r="B540" s="64" t="s">
        <v>343</v>
      </c>
      <c r="D540" s="77"/>
    </row>
    <row r="541" spans="1:5">
      <c r="A541" s="64" t="b">
        <v>0</v>
      </c>
      <c r="B541" s="64" t="s">
        <v>345</v>
      </c>
      <c r="D541" s="77"/>
    </row>
    <row r="542" spans="1:5">
      <c r="A542" s="64" t="b">
        <v>0</v>
      </c>
      <c r="B542" s="64" t="s">
        <v>1682</v>
      </c>
      <c r="D542" s="77"/>
    </row>
    <row r="543" spans="1:5">
      <c r="A543" s="64" t="b">
        <v>0</v>
      </c>
      <c r="B543" s="64" t="s">
        <v>1683</v>
      </c>
      <c r="D543" s="77"/>
    </row>
    <row r="544" spans="1:5">
      <c r="D544" s="77"/>
    </row>
    <row r="545" spans="1:4" ht="30">
      <c r="A545" s="67" t="s">
        <v>893</v>
      </c>
      <c r="B545" s="67" t="s">
        <v>895</v>
      </c>
      <c r="D545" s="77"/>
    </row>
    <row r="546" spans="1:4">
      <c r="A546" s="64" t="b">
        <v>1</v>
      </c>
      <c r="B546" s="64" t="b">
        <v>0</v>
      </c>
      <c r="D546" s="77"/>
    </row>
    <row r="548" spans="1:4">
      <c r="A548" s="67" t="s">
        <v>918</v>
      </c>
      <c r="B548" s="69" t="s">
        <v>917</v>
      </c>
      <c r="C548" s="69" t="s">
        <v>920</v>
      </c>
      <c r="D548" s="69" t="s">
        <v>921</v>
      </c>
    </row>
    <row r="549" spans="1:4">
      <c r="A549" s="64" t="s">
        <v>164</v>
      </c>
      <c r="B549" s="64" t="s">
        <v>113</v>
      </c>
      <c r="C549" s="64" t="s">
        <v>64</v>
      </c>
      <c r="D549" s="64" t="s">
        <v>162</v>
      </c>
    </row>
    <row r="550" spans="1:4">
      <c r="A550" s="64" t="s">
        <v>1340</v>
      </c>
      <c r="B550" s="64" t="s">
        <v>113</v>
      </c>
      <c r="C550" s="64" t="s">
        <v>162</v>
      </c>
      <c r="D550" s="64" t="s">
        <v>64</v>
      </c>
    </row>
    <row r="551" spans="1:4">
      <c r="A551" s="64" t="s">
        <v>1192</v>
      </c>
      <c r="B551" s="64" t="s">
        <v>113</v>
      </c>
      <c r="C551" s="64" t="s">
        <v>64</v>
      </c>
      <c r="D551" s="64" t="s">
        <v>64</v>
      </c>
    </row>
    <row r="552" spans="1:4">
      <c r="A552" s="64" t="s">
        <v>1341</v>
      </c>
      <c r="B552" s="64" t="s">
        <v>113</v>
      </c>
      <c r="C552" s="64" t="s">
        <v>162</v>
      </c>
      <c r="D552" s="64" t="s">
        <v>162</v>
      </c>
    </row>
    <row r="553" spans="1:4">
      <c r="A553" s="64" t="s">
        <v>1192</v>
      </c>
      <c r="B553" s="64" t="s">
        <v>1342</v>
      </c>
      <c r="C553" s="64" t="s">
        <v>1192</v>
      </c>
      <c r="D553" s="64" t="s">
        <v>1192</v>
      </c>
    </row>
    <row r="554" spans="1:4">
      <c r="A554" s="64" t="s">
        <v>114</v>
      </c>
      <c r="B554" s="64" t="s">
        <v>114</v>
      </c>
      <c r="C554" s="64" t="s">
        <v>1192</v>
      </c>
      <c r="D554" s="64" t="s">
        <v>1192</v>
      </c>
    </row>
    <row r="555" spans="1:4">
      <c r="A555" s="64" t="s">
        <v>115</v>
      </c>
      <c r="B555" s="64" t="s">
        <v>115</v>
      </c>
      <c r="C555" s="64" t="s">
        <v>1192</v>
      </c>
      <c r="D555" s="64" t="s">
        <v>1192</v>
      </c>
    </row>
    <row r="556" spans="1:4">
      <c r="A556" s="64" t="s">
        <v>116</v>
      </c>
      <c r="B556" s="64" t="s">
        <v>116</v>
      </c>
      <c r="C556" s="64" t="s">
        <v>1192</v>
      </c>
      <c r="D556" s="64" t="s">
        <v>1192</v>
      </c>
    </row>
    <row r="557" spans="1:4">
      <c r="A557" s="64" t="s">
        <v>118</v>
      </c>
      <c r="B557" s="64" t="s">
        <v>1192</v>
      </c>
      <c r="C557" s="64" t="s">
        <v>1192</v>
      </c>
      <c r="D557" s="64" t="s">
        <v>1192</v>
      </c>
    </row>
    <row r="558" spans="1:4">
      <c r="A558" s="64" t="s">
        <v>117</v>
      </c>
      <c r="B558" s="64" t="s">
        <v>1192</v>
      </c>
      <c r="C558" s="64" t="s">
        <v>1192</v>
      </c>
      <c r="D558" s="64" t="s">
        <v>1192</v>
      </c>
    </row>
    <row r="559" spans="1:4">
      <c r="A559" s="64" t="s">
        <v>1192</v>
      </c>
      <c r="B559" s="64" t="s">
        <v>119</v>
      </c>
      <c r="C559" s="64" t="s">
        <v>1192</v>
      </c>
      <c r="D559" s="64" t="s">
        <v>1192</v>
      </c>
    </row>
    <row r="560" spans="1:4">
      <c r="A560" s="64" t="s">
        <v>1192</v>
      </c>
      <c r="B560" s="64" t="s">
        <v>1343</v>
      </c>
      <c r="C560" s="64" t="s">
        <v>1192</v>
      </c>
      <c r="D560" s="64" t="s">
        <v>1192</v>
      </c>
    </row>
    <row r="561" spans="1:5">
      <c r="A561" s="64" t="s">
        <v>1192</v>
      </c>
      <c r="B561" s="64" t="s">
        <v>122</v>
      </c>
      <c r="C561" s="64" t="s">
        <v>1192</v>
      </c>
      <c r="D561" s="64" t="s">
        <v>1192</v>
      </c>
    </row>
    <row r="562" spans="1:5">
      <c r="A562" s="64" t="s">
        <v>1192</v>
      </c>
      <c r="B562" s="64" t="s">
        <v>121</v>
      </c>
      <c r="C562" s="64" t="s">
        <v>1192</v>
      </c>
      <c r="D562" s="64" t="s">
        <v>1192</v>
      </c>
    </row>
    <row r="563" spans="1:5">
      <c r="A563" s="64" t="s">
        <v>1192</v>
      </c>
      <c r="B563" s="64" t="s">
        <v>120</v>
      </c>
      <c r="C563" s="64" t="s">
        <v>1192</v>
      </c>
      <c r="D563" s="64" t="s">
        <v>1192</v>
      </c>
    </row>
    <row r="565" spans="1:5">
      <c r="A565" s="67" t="s">
        <v>923</v>
      </c>
      <c r="B565" s="69" t="s">
        <v>922</v>
      </c>
    </row>
    <row r="566" spans="1:5">
      <c r="A566" s="64" t="s">
        <v>1187</v>
      </c>
      <c r="B566" s="64" t="s">
        <v>60</v>
      </c>
    </row>
    <row r="567" spans="1:5">
      <c r="A567" s="64" t="s">
        <v>1188</v>
      </c>
      <c r="B567" s="64" t="s">
        <v>160</v>
      </c>
    </row>
    <row r="569" spans="1:5">
      <c r="A569" s="67" t="s">
        <v>779</v>
      </c>
      <c r="B569" s="68" t="s">
        <v>1344</v>
      </c>
      <c r="C569" s="69" t="s">
        <v>55</v>
      </c>
      <c r="D569" s="68" t="s">
        <v>1345</v>
      </c>
      <c r="E569" s="68" t="s">
        <v>1346</v>
      </c>
    </row>
    <row r="570" spans="1:5">
      <c r="A570" s="64" t="s">
        <v>62</v>
      </c>
      <c r="B570" s="64" t="s">
        <v>1482</v>
      </c>
      <c r="C570" s="64" t="s">
        <v>975</v>
      </c>
      <c r="D570" s="64" t="s">
        <v>1349</v>
      </c>
      <c r="E570" s="64">
        <v>65</v>
      </c>
    </row>
    <row r="571" spans="1:5">
      <c r="A571" s="64" t="s">
        <v>162</v>
      </c>
      <c r="B571" s="64" t="s">
        <v>1482</v>
      </c>
      <c r="C571" s="64" t="s">
        <v>975</v>
      </c>
      <c r="D571" s="64" t="s">
        <v>1350</v>
      </c>
      <c r="E571" s="64">
        <v>65</v>
      </c>
    </row>
  </sheetData>
  <phoneticPr fontId="19"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dimension ref="A1:J243"/>
  <sheetViews>
    <sheetView showGridLines="0" tabSelected="1" topLeftCell="A133" zoomScale="85" zoomScaleNormal="85" workbookViewId="0">
      <selection activeCell="D153" sqref="D153"/>
    </sheetView>
  </sheetViews>
  <sheetFormatPr defaultColWidth="30.7109375" defaultRowHeight="15"/>
  <cols>
    <col min="1" max="1" width="50.7109375" style="14" customWidth="1"/>
    <col min="2" max="2" width="15.140625" style="14" bestFit="1" customWidth="1"/>
    <col min="3" max="16384" width="30.7109375" style="14"/>
  </cols>
  <sheetData>
    <row r="1" spans="1:8" s="71" customFormat="1">
      <c r="A1" s="67" t="s">
        <v>772</v>
      </c>
      <c r="B1" s="68" t="s">
        <v>1351</v>
      </c>
      <c r="C1" s="68" t="s">
        <v>1344</v>
      </c>
      <c r="D1" s="68" t="s">
        <v>1346</v>
      </c>
      <c r="E1" s="68" t="s">
        <v>1345</v>
      </c>
      <c r="F1" s="69" t="s">
        <v>48</v>
      </c>
      <c r="G1" s="68" t="s">
        <v>1345</v>
      </c>
      <c r="H1" s="68" t="s">
        <v>1346</v>
      </c>
    </row>
    <row r="2" spans="1:8">
      <c r="A2" s="64" t="s">
        <v>1684</v>
      </c>
      <c r="B2" s="70" t="s">
        <v>664</v>
      </c>
      <c r="C2" s="64" t="s">
        <v>1352</v>
      </c>
      <c r="D2" s="64" t="s">
        <v>1353</v>
      </c>
      <c r="E2" s="64" t="s">
        <v>1348</v>
      </c>
      <c r="F2" s="64" t="s">
        <v>975</v>
      </c>
      <c r="G2" s="64" t="s">
        <v>1354</v>
      </c>
      <c r="H2" s="64">
        <v>365</v>
      </c>
    </row>
    <row r="4" spans="1:8" s="71" customFormat="1">
      <c r="A4" s="67" t="s">
        <v>688</v>
      </c>
      <c r="B4" s="68" t="s">
        <v>1351</v>
      </c>
      <c r="C4" s="69" t="s">
        <v>1</v>
      </c>
    </row>
    <row r="5" spans="1:8" ht="30">
      <c r="A5" s="64" t="s">
        <v>1355</v>
      </c>
      <c r="B5" s="70" t="s">
        <v>664</v>
      </c>
      <c r="C5" s="64" t="s">
        <v>1134</v>
      </c>
    </row>
    <row r="7" spans="1:8" s="71" customFormat="1">
      <c r="A7" s="67" t="s">
        <v>713</v>
      </c>
      <c r="B7" s="68" t="s">
        <v>1351</v>
      </c>
      <c r="C7" s="68" t="s">
        <v>1344</v>
      </c>
      <c r="D7" s="68" t="s">
        <v>1346</v>
      </c>
      <c r="E7" s="68" t="s">
        <v>1345</v>
      </c>
      <c r="F7" s="69" t="s">
        <v>708</v>
      </c>
      <c r="G7" s="68" t="s">
        <v>1345</v>
      </c>
      <c r="H7" s="68" t="s">
        <v>1346</v>
      </c>
    </row>
    <row r="8" spans="1:8" ht="30">
      <c r="A8" s="64" t="s">
        <v>1743</v>
      </c>
      <c r="B8" s="70" t="s">
        <v>664</v>
      </c>
      <c r="C8" s="64" t="s">
        <v>1352</v>
      </c>
      <c r="D8" s="64" t="s">
        <v>1353</v>
      </c>
      <c r="E8" s="64" t="s">
        <v>1348</v>
      </c>
      <c r="F8" s="64" t="s">
        <v>975</v>
      </c>
      <c r="G8" s="64" t="s">
        <v>1354</v>
      </c>
      <c r="H8" s="64">
        <v>30</v>
      </c>
    </row>
    <row r="10" spans="1:8" s="71" customFormat="1">
      <c r="A10" s="67" t="s">
        <v>713</v>
      </c>
      <c r="B10" s="68" t="s">
        <v>1351</v>
      </c>
      <c r="C10" s="68" t="s">
        <v>1344</v>
      </c>
      <c r="D10" s="68" t="s">
        <v>1346</v>
      </c>
      <c r="E10" s="68" t="s">
        <v>1345</v>
      </c>
      <c r="F10" s="69" t="s">
        <v>717</v>
      </c>
      <c r="G10" s="68" t="s">
        <v>1345</v>
      </c>
      <c r="H10" s="68" t="s">
        <v>1346</v>
      </c>
    </row>
    <row r="11" spans="1:8" ht="30">
      <c r="A11" s="64" t="s">
        <v>1743</v>
      </c>
      <c r="B11" s="64" t="s">
        <v>1357</v>
      </c>
      <c r="C11" s="64" t="s">
        <v>1352</v>
      </c>
      <c r="D11" s="64" t="s">
        <v>1353</v>
      </c>
      <c r="E11" s="64" t="s">
        <v>1348</v>
      </c>
      <c r="F11" s="64" t="s">
        <v>975</v>
      </c>
      <c r="G11" s="64" t="s">
        <v>1354</v>
      </c>
      <c r="H11" s="64">
        <v>30</v>
      </c>
    </row>
    <row r="13" spans="1:8" s="71" customFormat="1">
      <c r="A13" s="67" t="s">
        <v>713</v>
      </c>
      <c r="B13" s="68" t="s">
        <v>1351</v>
      </c>
      <c r="C13" s="69" t="s">
        <v>708</v>
      </c>
      <c r="D13" s="69" t="s">
        <v>717</v>
      </c>
    </row>
    <row r="14" spans="1:8" ht="30">
      <c r="A14" s="64" t="s">
        <v>1356</v>
      </c>
      <c r="B14" s="64" t="s">
        <v>1357</v>
      </c>
      <c r="C14" s="64" t="s">
        <v>1186</v>
      </c>
      <c r="D14" s="64" t="s">
        <v>1186</v>
      </c>
    </row>
    <row r="16" spans="1:8" s="71" customFormat="1">
      <c r="A16" s="67" t="s">
        <v>769</v>
      </c>
      <c r="B16" s="68" t="s">
        <v>1351</v>
      </c>
      <c r="C16" s="69" t="s">
        <v>61</v>
      </c>
    </row>
    <row r="17" spans="1:6">
      <c r="A17" s="64" t="s">
        <v>1358</v>
      </c>
      <c r="B17" s="64" t="s">
        <v>664</v>
      </c>
      <c r="C17" s="64" t="s">
        <v>116</v>
      </c>
    </row>
    <row r="18" spans="1:6" ht="30">
      <c r="A18" s="64" t="s">
        <v>1358</v>
      </c>
      <c r="B18" s="64" t="s">
        <v>664</v>
      </c>
      <c r="C18" s="64" t="s">
        <v>1193</v>
      </c>
    </row>
    <row r="19" spans="1:6">
      <c r="A19" s="64" t="s">
        <v>1358</v>
      </c>
      <c r="B19" s="64" t="s">
        <v>664</v>
      </c>
      <c r="C19" s="64" t="s">
        <v>1194</v>
      </c>
    </row>
    <row r="21" spans="1:6" s="114" customFormat="1">
      <c r="A21" s="111" t="s">
        <v>779</v>
      </c>
      <c r="B21" s="112" t="s">
        <v>1351</v>
      </c>
      <c r="C21" s="112" t="s">
        <v>1344</v>
      </c>
      <c r="D21" s="113" t="s">
        <v>55</v>
      </c>
      <c r="E21" s="112" t="s">
        <v>1345</v>
      </c>
      <c r="F21" s="112" t="s">
        <v>1346</v>
      </c>
    </row>
    <row r="22" spans="1:6">
      <c r="A22" s="64" t="s">
        <v>1359</v>
      </c>
      <c r="B22" s="64" t="s">
        <v>664</v>
      </c>
      <c r="C22" s="64" t="s">
        <v>1482</v>
      </c>
      <c r="D22" s="64" t="s">
        <v>975</v>
      </c>
      <c r="E22" s="64" t="s">
        <v>1349</v>
      </c>
      <c r="F22" s="64">
        <v>16</v>
      </c>
    </row>
    <row r="24" spans="1:6" s="114" customFormat="1">
      <c r="A24" s="111" t="s">
        <v>779</v>
      </c>
      <c r="B24" s="112" t="s">
        <v>1351</v>
      </c>
      <c r="C24" s="113" t="s">
        <v>708</v>
      </c>
      <c r="D24" s="113" t="s">
        <v>717</v>
      </c>
    </row>
    <row r="25" spans="1:6" ht="30">
      <c r="A25" s="64" t="s">
        <v>1356</v>
      </c>
      <c r="B25" s="64" t="s">
        <v>1357</v>
      </c>
      <c r="C25" s="64" t="s">
        <v>1186</v>
      </c>
      <c r="D25" s="64" t="s">
        <v>1186</v>
      </c>
    </row>
    <row r="27" spans="1:6" s="114" customFormat="1">
      <c r="A27" s="111" t="s">
        <v>810</v>
      </c>
      <c r="B27" s="112" t="s">
        <v>1351</v>
      </c>
      <c r="C27" s="112" t="s">
        <v>1344</v>
      </c>
      <c r="D27" s="111" t="s">
        <v>810</v>
      </c>
      <c r="E27" s="112" t="s">
        <v>1345</v>
      </c>
      <c r="F27" s="112" t="s">
        <v>1346</v>
      </c>
    </row>
    <row r="28" spans="1:6">
      <c r="A28" s="64" t="s">
        <v>1360</v>
      </c>
      <c r="B28" s="64" t="s">
        <v>664</v>
      </c>
      <c r="C28" s="64" t="s">
        <v>1361</v>
      </c>
      <c r="D28" s="64" t="s">
        <v>975</v>
      </c>
      <c r="E28" s="64" t="s">
        <v>1362</v>
      </c>
      <c r="F28" s="64" t="s">
        <v>1195</v>
      </c>
    </row>
    <row r="30" spans="1:6" s="114" customFormat="1">
      <c r="A30" s="111" t="s">
        <v>815</v>
      </c>
      <c r="B30" s="112" t="s">
        <v>1351</v>
      </c>
      <c r="C30" s="113" t="s">
        <v>175</v>
      </c>
      <c r="D30" s="113" t="s">
        <v>817</v>
      </c>
      <c r="E30" s="14"/>
    </row>
    <row r="31" spans="1:6" ht="30">
      <c r="A31" s="64" t="s">
        <v>1363</v>
      </c>
      <c r="B31" s="64" t="s">
        <v>664</v>
      </c>
      <c r="C31" s="64" t="s">
        <v>1186</v>
      </c>
      <c r="D31" s="64" t="s">
        <v>1185</v>
      </c>
    </row>
    <row r="33" spans="1:6" s="114" customFormat="1">
      <c r="A33" s="111" t="s">
        <v>822</v>
      </c>
      <c r="B33" s="112" t="s">
        <v>1351</v>
      </c>
      <c r="C33" s="113" t="s">
        <v>175</v>
      </c>
      <c r="D33" s="113" t="s">
        <v>821</v>
      </c>
      <c r="E33" s="14"/>
    </row>
    <row r="34" spans="1:6" ht="30">
      <c r="A34" s="64" t="s">
        <v>1364</v>
      </c>
      <c r="B34" s="64" t="s">
        <v>664</v>
      </c>
      <c r="C34" s="64" t="s">
        <v>1186</v>
      </c>
      <c r="D34" s="64" t="s">
        <v>1185</v>
      </c>
    </row>
    <row r="36" spans="1:6" s="114" customFormat="1">
      <c r="A36" s="111" t="s">
        <v>825</v>
      </c>
      <c r="B36" s="112" t="s">
        <v>1351</v>
      </c>
      <c r="C36" s="113" t="s">
        <v>175</v>
      </c>
      <c r="D36" s="113" t="s">
        <v>824</v>
      </c>
      <c r="E36" s="14"/>
    </row>
    <row r="37" spans="1:6" ht="30">
      <c r="A37" s="64" t="s">
        <v>1365</v>
      </c>
      <c r="B37" s="64" t="s">
        <v>664</v>
      </c>
      <c r="C37" s="64" t="s">
        <v>1186</v>
      </c>
      <c r="D37" s="64" t="s">
        <v>1185</v>
      </c>
    </row>
    <row r="39" spans="1:6" s="114" customFormat="1">
      <c r="A39" s="111" t="s">
        <v>828</v>
      </c>
      <c r="B39" s="112" t="s">
        <v>1351</v>
      </c>
      <c r="C39" s="113" t="s">
        <v>175</v>
      </c>
      <c r="D39" s="113" t="s">
        <v>827</v>
      </c>
      <c r="E39" s="14"/>
    </row>
    <row r="40" spans="1:6" ht="30">
      <c r="A40" s="64" t="s">
        <v>1366</v>
      </c>
      <c r="B40" s="64" t="s">
        <v>664</v>
      </c>
      <c r="C40" s="64" t="s">
        <v>1186</v>
      </c>
      <c r="D40" s="64" t="s">
        <v>1185</v>
      </c>
    </row>
    <row r="42" spans="1:6" s="71" customFormat="1">
      <c r="A42" s="67" t="s">
        <v>962</v>
      </c>
      <c r="B42" s="68" t="s">
        <v>1351</v>
      </c>
      <c r="C42" s="69" t="s">
        <v>961</v>
      </c>
    </row>
    <row r="43" spans="1:6" ht="60">
      <c r="A43" s="64" t="s">
        <v>1367</v>
      </c>
      <c r="B43" s="64" t="s">
        <v>1357</v>
      </c>
      <c r="C43" s="64" t="s">
        <v>64</v>
      </c>
    </row>
    <row r="45" spans="1:6" s="71" customFormat="1" ht="30">
      <c r="A45" s="67" t="s">
        <v>967</v>
      </c>
      <c r="B45" s="68" t="s">
        <v>1351</v>
      </c>
      <c r="C45" s="68" t="s">
        <v>1344</v>
      </c>
      <c r="D45" s="67" t="s">
        <v>815</v>
      </c>
      <c r="E45" s="68" t="s">
        <v>1345</v>
      </c>
      <c r="F45" s="69" t="s">
        <v>966</v>
      </c>
    </row>
    <row r="46" spans="1:6" ht="75">
      <c r="A46" s="64" t="s">
        <v>1368</v>
      </c>
      <c r="B46" s="64" t="s">
        <v>1357</v>
      </c>
      <c r="C46" s="64" t="s">
        <v>1361</v>
      </c>
      <c r="D46" s="64" t="s">
        <v>975</v>
      </c>
      <c r="E46" s="64" t="s">
        <v>1362</v>
      </c>
      <c r="F46" s="64" t="s">
        <v>975</v>
      </c>
    </row>
    <row r="48" spans="1:6" s="71" customFormat="1" ht="30">
      <c r="A48" s="67" t="s">
        <v>967</v>
      </c>
      <c r="B48" s="68" t="s">
        <v>1351</v>
      </c>
      <c r="C48" s="68" t="s">
        <v>1344</v>
      </c>
      <c r="D48" s="67" t="s">
        <v>819</v>
      </c>
      <c r="E48" s="68" t="s">
        <v>1345</v>
      </c>
      <c r="F48" s="69" t="s">
        <v>969</v>
      </c>
    </row>
    <row r="49" spans="1:8" ht="75">
      <c r="A49" s="64" t="s">
        <v>1368</v>
      </c>
      <c r="B49" s="64" t="s">
        <v>1357</v>
      </c>
      <c r="C49" s="64" t="s">
        <v>1361</v>
      </c>
      <c r="D49" s="64" t="s">
        <v>975</v>
      </c>
      <c r="E49" s="64" t="s">
        <v>1362</v>
      </c>
      <c r="F49" s="64" t="s">
        <v>975</v>
      </c>
      <c r="H49" s="14">
        <f>LEN("735 Chicago Ave735 Chicag")</f>
        <v>25</v>
      </c>
    </row>
    <row r="51" spans="1:8" s="71" customFormat="1" ht="30">
      <c r="A51" s="67" t="s">
        <v>904</v>
      </c>
      <c r="B51" s="68" t="s">
        <v>1351</v>
      </c>
      <c r="C51" s="69" t="s">
        <v>865</v>
      </c>
      <c r="D51" s="69" t="s">
        <v>886</v>
      </c>
      <c r="E51" s="69" t="s">
        <v>907</v>
      </c>
      <c r="F51" s="69" t="s">
        <v>907</v>
      </c>
    </row>
    <row r="52" spans="1:8" ht="60">
      <c r="A52" s="73" t="s">
        <v>1369</v>
      </c>
      <c r="B52" s="64" t="s">
        <v>1357</v>
      </c>
      <c r="C52" s="64" t="s">
        <v>1186</v>
      </c>
      <c r="D52" s="64" t="s">
        <v>1186</v>
      </c>
      <c r="E52" s="64" t="s">
        <v>1186</v>
      </c>
      <c r="F52" s="64" t="s">
        <v>1185</v>
      </c>
    </row>
    <row r="53" spans="1:8" ht="60">
      <c r="A53" s="73" t="s">
        <v>1369</v>
      </c>
      <c r="B53" s="64" t="s">
        <v>1357</v>
      </c>
      <c r="C53" s="64" t="s">
        <v>1186</v>
      </c>
      <c r="D53" s="64" t="s">
        <v>1186</v>
      </c>
      <c r="E53" s="64" t="s">
        <v>1185</v>
      </c>
      <c r="F53" s="64" t="s">
        <v>1186</v>
      </c>
    </row>
    <row r="55" spans="1:8" s="71" customFormat="1" ht="45">
      <c r="A55" s="67" t="s">
        <v>863</v>
      </c>
      <c r="B55" s="68" t="s">
        <v>1351</v>
      </c>
      <c r="C55" s="69" t="s">
        <v>1</v>
      </c>
      <c r="D55" s="67" t="s">
        <v>863</v>
      </c>
    </row>
    <row r="56" spans="1:8">
      <c r="A56" s="64" t="s">
        <v>1370</v>
      </c>
      <c r="B56" s="64" t="s">
        <v>664</v>
      </c>
      <c r="C56" s="64" t="s">
        <v>1074</v>
      </c>
      <c r="D56" s="64" t="s">
        <v>1185</v>
      </c>
    </row>
    <row r="58" spans="1:8" s="71" customFormat="1" ht="45">
      <c r="A58" s="67" t="s">
        <v>863</v>
      </c>
      <c r="B58" s="68" t="s">
        <v>1351</v>
      </c>
      <c r="C58" s="67" t="s">
        <v>863</v>
      </c>
    </row>
    <row r="59" spans="1:8">
      <c r="A59" s="64" t="s">
        <v>1371</v>
      </c>
      <c r="B59" s="64" t="s">
        <v>1357</v>
      </c>
      <c r="C59" s="64" t="s">
        <v>1186</v>
      </c>
    </row>
    <row r="61" spans="1:8" s="71" customFormat="1">
      <c r="A61" s="67" t="s">
        <v>700</v>
      </c>
      <c r="B61" s="68" t="s">
        <v>1351</v>
      </c>
      <c r="C61" s="68" t="s">
        <v>1344</v>
      </c>
      <c r="D61" s="67" t="s">
        <v>700</v>
      </c>
      <c r="E61" s="68" t="s">
        <v>1345</v>
      </c>
      <c r="F61" s="68" t="s">
        <v>1346</v>
      </c>
    </row>
    <row r="62" spans="1:8">
      <c r="A62" s="64" t="s">
        <v>1372</v>
      </c>
      <c r="B62" s="64" t="s">
        <v>664</v>
      </c>
      <c r="C62" s="64" t="s">
        <v>1373</v>
      </c>
      <c r="D62" s="64" t="s">
        <v>975</v>
      </c>
      <c r="E62" s="64" t="s">
        <v>1362</v>
      </c>
      <c r="F62" s="64">
        <v>9</v>
      </c>
    </row>
    <row r="64" spans="1:8" s="71" customFormat="1">
      <c r="A64" s="67" t="s">
        <v>757</v>
      </c>
      <c r="B64" s="68" t="s">
        <v>1351</v>
      </c>
      <c r="C64" s="68" t="s">
        <v>1344</v>
      </c>
      <c r="D64" s="69" t="s">
        <v>56</v>
      </c>
      <c r="E64" s="68" t="s">
        <v>1345</v>
      </c>
      <c r="F64" s="68" t="s">
        <v>1346</v>
      </c>
    </row>
    <row r="65" spans="1:6">
      <c r="A65" s="64" t="s">
        <v>1372</v>
      </c>
      <c r="B65" s="64" t="s">
        <v>664</v>
      </c>
      <c r="C65" s="64" t="s">
        <v>1373</v>
      </c>
      <c r="D65" s="64" t="s">
        <v>975</v>
      </c>
      <c r="E65" s="64" t="s">
        <v>1362</v>
      </c>
      <c r="F65" s="64">
        <v>11</v>
      </c>
    </row>
    <row r="67" spans="1:6" s="71" customFormat="1">
      <c r="A67" s="67" t="s">
        <v>828</v>
      </c>
      <c r="B67" s="68" t="s">
        <v>1351</v>
      </c>
      <c r="C67" s="68" t="s">
        <v>1344</v>
      </c>
      <c r="D67" s="67" t="s">
        <v>828</v>
      </c>
      <c r="E67" s="68" t="s">
        <v>1345</v>
      </c>
      <c r="F67" s="68" t="s">
        <v>1346</v>
      </c>
    </row>
    <row r="68" spans="1:6">
      <c r="A68" s="64" t="s">
        <v>1374</v>
      </c>
      <c r="B68" s="64" t="s">
        <v>664</v>
      </c>
      <c r="C68" s="64" t="s">
        <v>1373</v>
      </c>
      <c r="D68" s="64" t="s">
        <v>975</v>
      </c>
      <c r="E68" s="64" t="s">
        <v>1349</v>
      </c>
      <c r="F68" s="64">
        <v>5</v>
      </c>
    </row>
    <row r="69" spans="1:6">
      <c r="A69" s="64" t="s">
        <v>1374</v>
      </c>
      <c r="B69" s="64" t="s">
        <v>664</v>
      </c>
      <c r="C69" s="64" t="s">
        <v>1373</v>
      </c>
      <c r="D69" s="64" t="s">
        <v>975</v>
      </c>
      <c r="E69" s="64" t="s">
        <v>1375</v>
      </c>
      <c r="F69" s="64">
        <v>6</v>
      </c>
    </row>
    <row r="70" spans="1:6">
      <c r="A70" s="64" t="s">
        <v>1374</v>
      </c>
      <c r="B70" s="64" t="s">
        <v>664</v>
      </c>
      <c r="C70" s="64" t="s">
        <v>1373</v>
      </c>
      <c r="D70" s="64" t="s">
        <v>975</v>
      </c>
      <c r="E70" s="64" t="s">
        <v>1375</v>
      </c>
      <c r="F70" s="64">
        <v>7</v>
      </c>
    </row>
    <row r="71" spans="1:6">
      <c r="A71" s="64" t="s">
        <v>1374</v>
      </c>
      <c r="B71" s="64" t="s">
        <v>664</v>
      </c>
      <c r="C71" s="64" t="s">
        <v>1373</v>
      </c>
      <c r="D71" s="64" t="s">
        <v>975</v>
      </c>
      <c r="E71" s="64" t="s">
        <v>1375</v>
      </c>
      <c r="F71" s="64">
        <v>8</v>
      </c>
    </row>
    <row r="72" spans="1:6">
      <c r="A72" s="64" t="s">
        <v>1374</v>
      </c>
      <c r="B72" s="64" t="s">
        <v>664</v>
      </c>
      <c r="C72" s="64" t="s">
        <v>1373</v>
      </c>
      <c r="D72" s="64" t="s">
        <v>975</v>
      </c>
      <c r="E72" s="64" t="s">
        <v>1354</v>
      </c>
      <c r="F72" s="64">
        <v>9</v>
      </c>
    </row>
    <row r="74" spans="1:6" s="71" customFormat="1">
      <c r="A74" s="67" t="s">
        <v>918</v>
      </c>
      <c r="B74" s="68" t="s">
        <v>1351</v>
      </c>
      <c r="C74" s="69" t="s">
        <v>917</v>
      </c>
      <c r="D74" s="69" t="s">
        <v>920</v>
      </c>
    </row>
    <row r="75" spans="1:6" ht="45">
      <c r="A75" s="64" t="s">
        <v>1376</v>
      </c>
      <c r="B75" s="64" t="s">
        <v>664</v>
      </c>
      <c r="C75" s="64" t="s">
        <v>113</v>
      </c>
      <c r="D75" s="64" t="s">
        <v>1185</v>
      </c>
    </row>
    <row r="77" spans="1:6" s="71" customFormat="1">
      <c r="A77" s="67" t="s">
        <v>918</v>
      </c>
      <c r="B77" s="68" t="s">
        <v>1351</v>
      </c>
      <c r="C77" s="69" t="s">
        <v>917</v>
      </c>
      <c r="D77" s="69" t="s">
        <v>921</v>
      </c>
    </row>
    <row r="78" spans="1:6" ht="45">
      <c r="A78" s="64" t="s">
        <v>1377</v>
      </c>
      <c r="B78" s="64" t="s">
        <v>664</v>
      </c>
      <c r="C78" s="64" t="s">
        <v>113</v>
      </c>
      <c r="D78" s="64" t="s">
        <v>1185</v>
      </c>
    </row>
    <row r="80" spans="1:6" s="71" customFormat="1">
      <c r="A80" s="67" t="s">
        <v>918</v>
      </c>
      <c r="B80" s="68" t="s">
        <v>1351</v>
      </c>
      <c r="C80" s="69" t="s">
        <v>917</v>
      </c>
    </row>
    <row r="81" spans="1:5" ht="30">
      <c r="A81" s="64" t="s">
        <v>1378</v>
      </c>
      <c r="B81" s="64" t="s">
        <v>664</v>
      </c>
      <c r="C81" s="64" t="s">
        <v>1342</v>
      </c>
    </row>
    <row r="82" spans="1:5" ht="30">
      <c r="A82" s="64" t="s">
        <v>1378</v>
      </c>
      <c r="B82" s="64" t="s">
        <v>664</v>
      </c>
      <c r="C82" s="64" t="s">
        <v>119</v>
      </c>
    </row>
    <row r="83" spans="1:5" ht="30">
      <c r="A83" s="64" t="s">
        <v>1378</v>
      </c>
      <c r="B83" s="64" t="s">
        <v>664</v>
      </c>
      <c r="C83" s="64" t="s">
        <v>1343</v>
      </c>
    </row>
    <row r="84" spans="1:5" ht="30">
      <c r="A84" s="64" t="s">
        <v>1378</v>
      </c>
      <c r="B84" s="64" t="s">
        <v>664</v>
      </c>
      <c r="C84" s="64" t="s">
        <v>122</v>
      </c>
    </row>
    <row r="85" spans="1:5" ht="30">
      <c r="A85" s="64" t="s">
        <v>1378</v>
      </c>
      <c r="B85" s="64" t="s">
        <v>664</v>
      </c>
      <c r="C85" s="64" t="s">
        <v>121</v>
      </c>
    </row>
    <row r="86" spans="1:5" ht="30">
      <c r="A86" s="64" t="s">
        <v>1378</v>
      </c>
      <c r="B86" s="64" t="s">
        <v>664</v>
      </c>
      <c r="C86" s="64" t="s">
        <v>120</v>
      </c>
    </row>
    <row r="88" spans="1:5" s="71" customFormat="1" ht="30">
      <c r="A88" s="67" t="s">
        <v>697</v>
      </c>
      <c r="B88" s="68" t="s">
        <v>1351</v>
      </c>
      <c r="C88" s="67" t="s">
        <v>693</v>
      </c>
      <c r="D88" s="67" t="s">
        <v>697</v>
      </c>
    </row>
    <row r="89" spans="1:5" ht="45">
      <c r="A89" s="64" t="s">
        <v>1379</v>
      </c>
      <c r="B89" s="64" t="s">
        <v>664</v>
      </c>
      <c r="C89" s="64" t="b">
        <v>1</v>
      </c>
      <c r="D89" s="64" t="b">
        <v>1</v>
      </c>
    </row>
    <row r="91" spans="1:5" s="71" customFormat="1">
      <c r="A91" s="67" t="s">
        <v>729</v>
      </c>
      <c r="B91" s="68" t="s">
        <v>1351</v>
      </c>
      <c r="C91" s="67" t="s">
        <v>729</v>
      </c>
      <c r="D91" s="67" t="s">
        <v>731</v>
      </c>
    </row>
    <row r="92" spans="1:5" ht="30">
      <c r="A92" s="64" t="s">
        <v>1380</v>
      </c>
      <c r="B92" s="64" t="s">
        <v>664</v>
      </c>
      <c r="C92" s="64" t="b">
        <v>1</v>
      </c>
      <c r="D92" s="64" t="b">
        <v>1</v>
      </c>
    </row>
    <row r="94" spans="1:5" s="71" customFormat="1" ht="30">
      <c r="A94" s="67" t="s">
        <v>790</v>
      </c>
      <c r="B94" s="68" t="s">
        <v>1351</v>
      </c>
      <c r="C94" s="67" t="s">
        <v>786</v>
      </c>
      <c r="D94" s="67" t="s">
        <v>788</v>
      </c>
      <c r="E94" s="67" t="s">
        <v>790</v>
      </c>
    </row>
    <row r="95" spans="1:5">
      <c r="A95" s="64" t="s">
        <v>1381</v>
      </c>
      <c r="B95" s="64" t="s">
        <v>664</v>
      </c>
      <c r="C95" s="64" t="b">
        <v>0</v>
      </c>
      <c r="D95" s="64" t="b">
        <v>0</v>
      </c>
      <c r="E95" s="64" t="b">
        <v>0</v>
      </c>
    </row>
    <row r="97" spans="1:10" s="71" customFormat="1" ht="45">
      <c r="A97" s="67" t="s">
        <v>790</v>
      </c>
      <c r="B97" s="68" t="s">
        <v>1351</v>
      </c>
      <c r="C97" s="67" t="s">
        <v>792</v>
      </c>
      <c r="D97" s="67" t="s">
        <v>794</v>
      </c>
      <c r="E97" s="67" t="s">
        <v>796</v>
      </c>
      <c r="F97" s="67" t="s">
        <v>798</v>
      </c>
      <c r="G97" s="67" t="s">
        <v>800</v>
      </c>
      <c r="H97" s="67" t="s">
        <v>802</v>
      </c>
      <c r="I97" s="67" t="s">
        <v>804</v>
      </c>
      <c r="J97" s="67" t="s">
        <v>806</v>
      </c>
    </row>
    <row r="98" spans="1:10">
      <c r="A98" s="64" t="s">
        <v>1382</v>
      </c>
      <c r="B98" s="64" t="s">
        <v>664</v>
      </c>
      <c r="C98" s="64" t="b">
        <v>0</v>
      </c>
      <c r="D98" s="64" t="b">
        <v>0</v>
      </c>
      <c r="E98" s="64" t="b">
        <v>0</v>
      </c>
      <c r="F98" s="64" t="b">
        <v>0</v>
      </c>
      <c r="G98" s="64" t="b">
        <v>0</v>
      </c>
      <c r="H98" s="64" t="b">
        <v>0</v>
      </c>
      <c r="I98" s="64" t="b">
        <v>0</v>
      </c>
      <c r="J98" s="64" t="b">
        <v>0</v>
      </c>
    </row>
    <row r="100" spans="1:10" s="71" customFormat="1" ht="45">
      <c r="A100" s="67" t="s">
        <v>949</v>
      </c>
      <c r="B100" s="68" t="s">
        <v>1351</v>
      </c>
      <c r="C100" s="67" t="s">
        <v>947</v>
      </c>
      <c r="D100" s="67" t="s">
        <v>948</v>
      </c>
      <c r="E100" s="67" t="s">
        <v>949</v>
      </c>
    </row>
    <row r="101" spans="1:10">
      <c r="A101" s="64" t="s">
        <v>1381</v>
      </c>
      <c r="B101" s="64" t="s">
        <v>664</v>
      </c>
      <c r="C101" s="64" t="b">
        <v>0</v>
      </c>
      <c r="D101" s="64" t="b">
        <v>0</v>
      </c>
      <c r="E101" s="64" t="b">
        <v>0</v>
      </c>
    </row>
    <row r="103" spans="1:10" s="71" customFormat="1" ht="60">
      <c r="A103" s="67" t="s">
        <v>957</v>
      </c>
      <c r="B103" s="68" t="s">
        <v>1351</v>
      </c>
      <c r="C103" s="67" t="s">
        <v>950</v>
      </c>
      <c r="D103" s="67" t="s">
        <v>951</v>
      </c>
      <c r="E103" s="67" t="s">
        <v>952</v>
      </c>
      <c r="F103" s="67" t="s">
        <v>953</v>
      </c>
      <c r="G103" s="67" t="s">
        <v>954</v>
      </c>
      <c r="H103" s="67" t="s">
        <v>955</v>
      </c>
      <c r="I103" s="67" t="s">
        <v>956</v>
      </c>
      <c r="J103" s="67" t="s">
        <v>957</v>
      </c>
    </row>
    <row r="104" spans="1:10">
      <c r="A104" s="64" t="s">
        <v>1381</v>
      </c>
      <c r="B104" s="64" t="s">
        <v>664</v>
      </c>
      <c r="C104" s="64" t="b">
        <v>0</v>
      </c>
      <c r="D104" s="64" t="b">
        <v>0</v>
      </c>
      <c r="E104" s="64" t="b">
        <v>0</v>
      </c>
      <c r="F104" s="64" t="b">
        <v>0</v>
      </c>
      <c r="G104" s="64" t="b">
        <v>0</v>
      </c>
      <c r="H104" s="64" t="b">
        <v>0</v>
      </c>
      <c r="I104" s="64" t="b">
        <v>0</v>
      </c>
      <c r="J104" s="64" t="b">
        <v>0</v>
      </c>
    </row>
    <row r="106" spans="1:10" s="71" customFormat="1" ht="45">
      <c r="A106" s="67" t="s">
        <v>959</v>
      </c>
      <c r="B106" s="68" t="s">
        <v>1351</v>
      </c>
      <c r="C106" s="67" t="s">
        <v>960</v>
      </c>
      <c r="D106" s="67" t="s">
        <v>959</v>
      </c>
    </row>
    <row r="107" spans="1:10">
      <c r="A107" s="64" t="s">
        <v>1383</v>
      </c>
      <c r="B107" s="64" t="s">
        <v>664</v>
      </c>
      <c r="C107" s="64" t="b">
        <v>1</v>
      </c>
      <c r="D107" s="64" t="b">
        <v>1</v>
      </c>
    </row>
    <row r="109" spans="1:10" s="71" customFormat="1" ht="45">
      <c r="A109" s="67" t="s">
        <v>962</v>
      </c>
      <c r="B109" s="68" t="s">
        <v>1351</v>
      </c>
      <c r="C109" s="67" t="s">
        <v>964</v>
      </c>
      <c r="D109" s="67" t="s">
        <v>959</v>
      </c>
    </row>
    <row r="110" spans="1:10">
      <c r="A110" s="64" t="s">
        <v>1383</v>
      </c>
      <c r="B110" s="64" t="s">
        <v>664</v>
      </c>
      <c r="C110" s="64" t="b">
        <v>1</v>
      </c>
      <c r="D110" s="64" t="b">
        <v>1</v>
      </c>
    </row>
    <row r="112" spans="1:10" s="71" customFormat="1" ht="45">
      <c r="A112" s="67" t="s">
        <v>967</v>
      </c>
      <c r="B112" s="68" t="s">
        <v>1351</v>
      </c>
      <c r="C112" s="67" t="s">
        <v>970</v>
      </c>
      <c r="D112" s="67" t="s">
        <v>959</v>
      </c>
    </row>
    <row r="113" spans="1:4">
      <c r="A113" s="64" t="s">
        <v>1383</v>
      </c>
      <c r="B113" s="64" t="s">
        <v>664</v>
      </c>
      <c r="C113" s="64" t="b">
        <v>1</v>
      </c>
      <c r="D113" s="64" t="b">
        <v>1</v>
      </c>
    </row>
    <row r="115" spans="1:4" s="71" customFormat="1" ht="30">
      <c r="A115" s="67" t="s">
        <v>873</v>
      </c>
      <c r="B115" s="68" t="s">
        <v>1351</v>
      </c>
      <c r="C115" s="69" t="s">
        <v>865</v>
      </c>
      <c r="D115" s="69" t="s">
        <v>872</v>
      </c>
    </row>
    <row r="116" spans="1:4">
      <c r="A116" s="64" t="s">
        <v>1384</v>
      </c>
      <c r="B116" s="64" t="s">
        <v>664</v>
      </c>
      <c r="C116" s="64" t="s">
        <v>1186</v>
      </c>
      <c r="D116" s="64" t="s">
        <v>1185</v>
      </c>
    </row>
    <row r="118" spans="1:4" s="71" customFormat="1" ht="30">
      <c r="A118" s="67" t="s">
        <v>893</v>
      </c>
      <c r="B118" s="68" t="s">
        <v>1351</v>
      </c>
      <c r="C118" s="69" t="s">
        <v>886</v>
      </c>
      <c r="D118" s="69" t="s">
        <v>892</v>
      </c>
    </row>
    <row r="119" spans="1:4">
      <c r="A119" s="64" t="s">
        <v>1384</v>
      </c>
      <c r="B119" s="64" t="s">
        <v>664</v>
      </c>
      <c r="C119" s="64" t="s">
        <v>1186</v>
      </c>
      <c r="D119" s="64" t="s">
        <v>1185</v>
      </c>
    </row>
    <row r="121" spans="1:4">
      <c r="A121" s="67" t="s">
        <v>868</v>
      </c>
      <c r="B121" s="68" t="s">
        <v>1351</v>
      </c>
      <c r="C121" s="67" t="s">
        <v>868</v>
      </c>
    </row>
    <row r="122" spans="1:4" ht="30">
      <c r="A122" s="64" t="s">
        <v>1685</v>
      </c>
      <c r="B122" s="64" t="s">
        <v>664</v>
      </c>
      <c r="C122" s="64" t="s">
        <v>1199</v>
      </c>
    </row>
    <row r="123" spans="1:4" ht="30">
      <c r="A123" s="64" t="s">
        <v>1685</v>
      </c>
      <c r="B123" s="64" t="s">
        <v>664</v>
      </c>
      <c r="C123" s="64" t="s">
        <v>1203</v>
      </c>
    </row>
    <row r="124" spans="1:4" ht="30">
      <c r="A124" s="64" t="s">
        <v>1685</v>
      </c>
      <c r="B124" s="64" t="s">
        <v>664</v>
      </c>
      <c r="C124" s="64" t="s">
        <v>1199</v>
      </c>
    </row>
    <row r="125" spans="1:4" ht="30">
      <c r="A125" s="64" t="s">
        <v>1685</v>
      </c>
      <c r="B125" s="64" t="s">
        <v>664</v>
      </c>
      <c r="C125" s="64" t="s">
        <v>1686</v>
      </c>
    </row>
    <row r="126" spans="1:4" ht="30">
      <c r="A126" s="64" t="s">
        <v>1685</v>
      </c>
      <c r="B126" s="64" t="s">
        <v>664</v>
      </c>
      <c r="C126" s="64" t="s">
        <v>1687</v>
      </c>
    </row>
    <row r="127" spans="1:4" ht="30">
      <c r="A127" s="64" t="s">
        <v>1685</v>
      </c>
      <c r="B127" s="64" t="s">
        <v>664</v>
      </c>
      <c r="C127" s="64" t="s">
        <v>1688</v>
      </c>
    </row>
    <row r="129" spans="1:6">
      <c r="A129" s="67" t="s">
        <v>878</v>
      </c>
      <c r="B129" s="68" t="s">
        <v>1351</v>
      </c>
      <c r="C129" s="67" t="s">
        <v>868</v>
      </c>
    </row>
    <row r="130" spans="1:6" ht="30">
      <c r="A130" s="64" t="s">
        <v>1685</v>
      </c>
      <c r="B130" s="64" t="s">
        <v>664</v>
      </c>
      <c r="C130" s="64" t="s">
        <v>1199</v>
      </c>
    </row>
    <row r="131" spans="1:6" ht="30">
      <c r="A131" s="64" t="s">
        <v>1685</v>
      </c>
      <c r="B131" s="64" t="s">
        <v>664</v>
      </c>
      <c r="C131" s="64" t="s">
        <v>1203</v>
      </c>
    </row>
    <row r="132" spans="1:6" ht="30">
      <c r="A132" s="64" t="s">
        <v>1685</v>
      </c>
      <c r="B132" s="64" t="s">
        <v>664</v>
      </c>
      <c r="C132" s="64" t="s">
        <v>1199</v>
      </c>
    </row>
    <row r="133" spans="1:6" ht="30">
      <c r="A133" s="64" t="s">
        <v>1685</v>
      </c>
      <c r="B133" s="64" t="s">
        <v>664</v>
      </c>
      <c r="C133" s="64" t="s">
        <v>1686</v>
      </c>
    </row>
    <row r="134" spans="1:6" ht="30">
      <c r="A134" s="64" t="s">
        <v>1685</v>
      </c>
      <c r="B134" s="64" t="s">
        <v>664</v>
      </c>
      <c r="C134" s="64" t="s">
        <v>1687</v>
      </c>
    </row>
    <row r="135" spans="1:6" ht="30">
      <c r="A135" s="64" t="s">
        <v>1685</v>
      </c>
      <c r="B135" s="64" t="s">
        <v>664</v>
      </c>
      <c r="C135" s="64" t="s">
        <v>1688</v>
      </c>
    </row>
    <row r="136" spans="1:6">
      <c r="C136"/>
    </row>
    <row r="137" spans="1:6" ht="30">
      <c r="A137" s="69" t="s">
        <v>187</v>
      </c>
      <c r="B137" s="68" t="s">
        <v>1351</v>
      </c>
      <c r="C137" s="68" t="s">
        <v>1344</v>
      </c>
      <c r="D137" s="69" t="s">
        <v>187</v>
      </c>
      <c r="E137" s="68" t="s">
        <v>1345</v>
      </c>
      <c r="F137" s="69" t="s">
        <v>191</v>
      </c>
    </row>
    <row r="138" spans="1:6" ht="30">
      <c r="A138" s="64" t="s">
        <v>1744</v>
      </c>
      <c r="B138" s="64" t="s">
        <v>664</v>
      </c>
      <c r="C138" s="64" t="s">
        <v>1361</v>
      </c>
      <c r="D138" s="64" t="s">
        <v>975</v>
      </c>
      <c r="E138" s="64" t="s">
        <v>1375</v>
      </c>
      <c r="F138" s="64" t="s">
        <v>975</v>
      </c>
    </row>
    <row r="140" spans="1:6">
      <c r="A140" s="69" t="s">
        <v>187</v>
      </c>
      <c r="B140" s="68" t="s">
        <v>1351</v>
      </c>
      <c r="C140" s="68" t="s">
        <v>1344</v>
      </c>
      <c r="D140" s="69" t="s">
        <v>187</v>
      </c>
      <c r="E140" s="68" t="s">
        <v>1345</v>
      </c>
      <c r="F140" s="69" t="s">
        <v>189</v>
      </c>
    </row>
    <row r="141" spans="1:6" ht="30">
      <c r="A141" s="64" t="s">
        <v>1745</v>
      </c>
      <c r="B141" s="64" t="s">
        <v>664</v>
      </c>
      <c r="C141" s="64" t="s">
        <v>1361</v>
      </c>
      <c r="D141" s="64" t="s">
        <v>975</v>
      </c>
      <c r="E141" s="64" t="s">
        <v>1375</v>
      </c>
      <c r="F141" s="64" t="s">
        <v>975</v>
      </c>
    </row>
    <row r="143" spans="1:6">
      <c r="A143" s="69" t="s">
        <v>191</v>
      </c>
      <c r="B143" s="68" t="s">
        <v>1351</v>
      </c>
      <c r="C143" s="68" t="s">
        <v>1344</v>
      </c>
      <c r="D143" s="69" t="s">
        <v>191</v>
      </c>
      <c r="E143" s="68" t="s">
        <v>1345</v>
      </c>
      <c r="F143" s="69" t="s">
        <v>189</v>
      </c>
    </row>
    <row r="144" spans="1:6" ht="30">
      <c r="A144" s="64" t="s">
        <v>1746</v>
      </c>
      <c r="B144" s="64" t="s">
        <v>664</v>
      </c>
      <c r="C144" s="64" t="s">
        <v>1361</v>
      </c>
      <c r="D144" s="64" t="s">
        <v>975</v>
      </c>
      <c r="E144" s="64" t="s">
        <v>1375</v>
      </c>
      <c r="F144" s="64" t="s">
        <v>975</v>
      </c>
    </row>
    <row r="145" spans="3:3">
      <c r="C145"/>
    </row>
    <row r="146" spans="3:3">
      <c r="C146"/>
    </row>
    <row r="147" spans="3:3">
      <c r="C147"/>
    </row>
    <row r="148" spans="3:3">
      <c r="C148"/>
    </row>
    <row r="149" spans="3:3">
      <c r="C149"/>
    </row>
    <row r="150" spans="3:3">
      <c r="C150"/>
    </row>
    <row r="151" spans="3:3">
      <c r="C151"/>
    </row>
    <row r="152" spans="3:3">
      <c r="C152"/>
    </row>
    <row r="153" spans="3:3">
      <c r="C153"/>
    </row>
    <row r="154" spans="3:3">
      <c r="C154"/>
    </row>
    <row r="155" spans="3:3">
      <c r="C155"/>
    </row>
    <row r="156" spans="3:3">
      <c r="C156"/>
    </row>
    <row r="157" spans="3:3">
      <c r="C157"/>
    </row>
    <row r="158" spans="3:3">
      <c r="C158"/>
    </row>
    <row r="159" spans="3:3">
      <c r="C159"/>
    </row>
    <row r="160" spans="3:3">
      <c r="C160"/>
    </row>
    <row r="161" spans="3:3">
      <c r="C161"/>
    </row>
    <row r="162" spans="3:3">
      <c r="C162"/>
    </row>
    <row r="163" spans="3:3">
      <c r="C163"/>
    </row>
    <row r="164" spans="3:3">
      <c r="C164"/>
    </row>
    <row r="165" spans="3:3">
      <c r="C165"/>
    </row>
    <row r="166" spans="3:3">
      <c r="C166"/>
    </row>
    <row r="167" spans="3:3">
      <c r="C167"/>
    </row>
    <row r="168" spans="3:3">
      <c r="C168"/>
    </row>
    <row r="169" spans="3:3">
      <c r="C169"/>
    </row>
    <row r="170" spans="3:3">
      <c r="C170"/>
    </row>
    <row r="171" spans="3:3">
      <c r="C171"/>
    </row>
    <row r="172" spans="3:3">
      <c r="C172"/>
    </row>
    <row r="173" spans="3:3">
      <c r="C173"/>
    </row>
    <row r="174" spans="3:3">
      <c r="C174"/>
    </row>
    <row r="175" spans="3:3">
      <c r="C175"/>
    </row>
    <row r="176" spans="3:3">
      <c r="C176"/>
    </row>
    <row r="177" spans="3:3">
      <c r="C177"/>
    </row>
    <row r="178" spans="3:3">
      <c r="C178"/>
    </row>
    <row r="179" spans="3:3">
      <c r="C179"/>
    </row>
    <row r="180" spans="3:3">
      <c r="C180"/>
    </row>
    <row r="181" spans="3:3">
      <c r="C181"/>
    </row>
    <row r="182" spans="3:3">
      <c r="C182"/>
    </row>
    <row r="183" spans="3:3">
      <c r="C183"/>
    </row>
    <row r="184" spans="3:3">
      <c r="C184"/>
    </row>
    <row r="185" spans="3:3">
      <c r="C185"/>
    </row>
    <row r="186" spans="3:3">
      <c r="C186"/>
    </row>
    <row r="187" spans="3:3">
      <c r="C187"/>
    </row>
    <row r="188" spans="3:3">
      <c r="C188"/>
    </row>
    <row r="189" spans="3:3">
      <c r="C189"/>
    </row>
    <row r="190" spans="3:3">
      <c r="C190"/>
    </row>
    <row r="191" spans="3:3">
      <c r="C191"/>
    </row>
    <row r="192" spans="3:3">
      <c r="C192"/>
    </row>
    <row r="193" spans="3:3">
      <c r="C193"/>
    </row>
    <row r="194" spans="3:3">
      <c r="C194"/>
    </row>
    <row r="195" spans="3:3">
      <c r="C195"/>
    </row>
    <row r="196" spans="3:3">
      <c r="C196"/>
    </row>
    <row r="197" spans="3:3">
      <c r="C197"/>
    </row>
    <row r="198" spans="3:3">
      <c r="C198"/>
    </row>
    <row r="199" spans="3:3">
      <c r="C199"/>
    </row>
    <row r="200" spans="3:3">
      <c r="C200"/>
    </row>
    <row r="201" spans="3:3">
      <c r="C201"/>
    </row>
    <row r="202" spans="3:3">
      <c r="C202"/>
    </row>
    <row r="203" spans="3:3">
      <c r="C203"/>
    </row>
    <row r="204" spans="3:3">
      <c r="C204"/>
    </row>
    <row r="205" spans="3:3">
      <c r="C205"/>
    </row>
    <row r="206" spans="3:3">
      <c r="C206"/>
    </row>
    <row r="207" spans="3:3">
      <c r="C207"/>
    </row>
    <row r="208" spans="3:3">
      <c r="C208"/>
    </row>
    <row r="209" spans="3:3">
      <c r="C209"/>
    </row>
    <row r="210" spans="3:3">
      <c r="C210"/>
    </row>
    <row r="211" spans="3:3">
      <c r="C211"/>
    </row>
    <row r="212" spans="3:3">
      <c r="C212"/>
    </row>
    <row r="213" spans="3:3">
      <c r="C213"/>
    </row>
    <row r="214" spans="3:3">
      <c r="C214"/>
    </row>
    <row r="215" spans="3:3">
      <c r="C215"/>
    </row>
    <row r="216" spans="3:3">
      <c r="C216"/>
    </row>
    <row r="217" spans="3:3">
      <c r="C217"/>
    </row>
    <row r="218" spans="3:3">
      <c r="C218"/>
    </row>
    <row r="219" spans="3:3">
      <c r="C219"/>
    </row>
    <row r="220" spans="3:3">
      <c r="C220"/>
    </row>
    <row r="221" spans="3:3">
      <c r="C221"/>
    </row>
    <row r="222" spans="3:3">
      <c r="C222"/>
    </row>
    <row r="223" spans="3:3">
      <c r="C223"/>
    </row>
    <row r="224" spans="3:3">
      <c r="C224"/>
    </row>
    <row r="225" spans="3:3">
      <c r="C225"/>
    </row>
    <row r="226" spans="3:3">
      <c r="C226"/>
    </row>
    <row r="227" spans="3:3">
      <c r="C227"/>
    </row>
    <row r="228" spans="3:3">
      <c r="C228"/>
    </row>
    <row r="229" spans="3:3">
      <c r="C229"/>
    </row>
    <row r="230" spans="3:3">
      <c r="C230"/>
    </row>
    <row r="231" spans="3:3">
      <c r="C231"/>
    </row>
    <row r="232" spans="3:3">
      <c r="C232"/>
    </row>
    <row r="233" spans="3:3">
      <c r="C233"/>
    </row>
    <row r="234" spans="3:3">
      <c r="C234"/>
    </row>
    <row r="235" spans="3:3">
      <c r="C235"/>
    </row>
    <row r="236" spans="3:3">
      <c r="C236"/>
    </row>
    <row r="237" spans="3:3">
      <c r="C237"/>
    </row>
    <row r="238" spans="3:3">
      <c r="C238"/>
    </row>
    <row r="239" spans="3:3">
      <c r="C239"/>
    </row>
    <row r="240" spans="3:3">
      <c r="C240"/>
    </row>
    <row r="241" spans="3:3">
      <c r="C241"/>
    </row>
    <row r="242" spans="3:3">
      <c r="C242"/>
    </row>
    <row r="243" spans="3:3">
      <c r="C243"/>
    </row>
  </sheetData>
  <phoneticPr fontId="19" type="noConversion"/>
  <conditionalFormatting sqref="B1:B5 B7:B136 B145:B1048576">
    <cfRule type="cellIs" dxfId="6" priority="2" operator="equal">
      <formula>"Alert"</formula>
    </cfRule>
  </conditionalFormatting>
  <conditionalFormatting sqref="B137:B144">
    <cfRule type="cellIs" dxfId="0" priority="1" operator="equal">
      <formula>"Alert"</formula>
    </cfRule>
  </conditionalFormatting>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F104"/>
  <sheetViews>
    <sheetView showGridLines="0" topLeftCell="A91" workbookViewId="0">
      <selection activeCell="E61" sqref="E61"/>
    </sheetView>
  </sheetViews>
  <sheetFormatPr defaultRowHeight="15"/>
  <cols>
    <col min="1" max="1" width="19" customWidth="1"/>
    <col min="2" max="2" width="30" customWidth="1"/>
    <col min="3" max="3" width="44.140625" bestFit="1" customWidth="1"/>
    <col min="4" max="4" width="61" bestFit="1" customWidth="1"/>
    <col min="5" max="5" width="19.7109375" customWidth="1"/>
    <col min="6" max="6" width="15.28515625" customWidth="1"/>
  </cols>
  <sheetData>
    <row r="1" spans="1:3">
      <c r="A1" s="135" t="s">
        <v>1385</v>
      </c>
      <c r="B1" s="135"/>
    </row>
    <row r="2" spans="1:3">
      <c r="A2" s="136" t="s">
        <v>1386</v>
      </c>
      <c r="B2" s="136"/>
    </row>
    <row r="3" spans="1:3" ht="15.75" thickBot="1"/>
    <row r="4" spans="1:3" s="23" customFormat="1" ht="15.75" thickTop="1">
      <c r="A4" s="22" t="s">
        <v>635</v>
      </c>
    </row>
    <row r="5" spans="1:3">
      <c r="B5" s="26" t="s">
        <v>1387</v>
      </c>
    </row>
    <row r="6" spans="1:3">
      <c r="B6" s="19" t="s">
        <v>649</v>
      </c>
      <c r="C6" s="19" t="s">
        <v>648</v>
      </c>
    </row>
    <row r="7" spans="1:3">
      <c r="B7" s="17" t="s">
        <v>1388</v>
      </c>
      <c r="C7" s="17" t="s">
        <v>1</v>
      </c>
    </row>
    <row r="9" spans="1:3">
      <c r="B9" s="26" t="s">
        <v>1389</v>
      </c>
    </row>
    <row r="10" spans="1:3">
      <c r="B10" s="19" t="s">
        <v>649</v>
      </c>
      <c r="C10" s="19" t="s">
        <v>648</v>
      </c>
    </row>
    <row r="11" spans="1:3">
      <c r="B11" s="17" t="s">
        <v>1390</v>
      </c>
      <c r="C11" s="17" t="s">
        <v>1390</v>
      </c>
    </row>
    <row r="12" spans="1:3">
      <c r="B12" s="17"/>
      <c r="C12" s="17" t="s">
        <v>1391</v>
      </c>
    </row>
    <row r="13" spans="1:3">
      <c r="B13" s="17"/>
      <c r="C13" s="17" t="s">
        <v>1392</v>
      </c>
    </row>
    <row r="15" spans="1:3">
      <c r="B15" s="26" t="s">
        <v>1393</v>
      </c>
    </row>
    <row r="16" spans="1:3">
      <c r="B16" s="19" t="s">
        <v>649</v>
      </c>
      <c r="C16" s="19" t="s">
        <v>648</v>
      </c>
    </row>
    <row r="17" spans="1:4">
      <c r="B17" s="17" t="s">
        <v>1394</v>
      </c>
      <c r="C17" s="17"/>
    </row>
    <row r="18" spans="1:4" ht="15.75" thickBot="1"/>
    <row r="19" spans="1:4" s="23" customFormat="1" ht="15.75" thickTop="1">
      <c r="A19" s="22" t="s">
        <v>656</v>
      </c>
    </row>
    <row r="20" spans="1:4">
      <c r="B20" s="26" t="s">
        <v>1395</v>
      </c>
    </row>
    <row r="21" spans="1:4">
      <c r="B21" t="s">
        <v>1396</v>
      </c>
    </row>
    <row r="22" spans="1:4">
      <c r="B22" s="19" t="s">
        <v>648</v>
      </c>
      <c r="C22" s="19" t="s">
        <v>1391</v>
      </c>
      <c r="D22" s="19" t="s">
        <v>1392</v>
      </c>
    </row>
    <row r="23" spans="1:4">
      <c r="B23" s="17" t="s">
        <v>1390</v>
      </c>
      <c r="C23" s="17" t="s">
        <v>248</v>
      </c>
      <c r="D23" s="17" t="s">
        <v>499</v>
      </c>
    </row>
    <row r="24" spans="1:4">
      <c r="B24" s="15"/>
      <c r="C24" s="15"/>
      <c r="D24" s="15"/>
    </row>
    <row r="25" spans="1:4">
      <c r="B25" s="26" t="s">
        <v>1397</v>
      </c>
    </row>
    <row r="26" spans="1:4">
      <c r="B26" s="19" t="s">
        <v>648</v>
      </c>
      <c r="C26" s="19" t="s">
        <v>1390</v>
      </c>
      <c r="D26" s="19" t="s">
        <v>1398</v>
      </c>
    </row>
    <row r="27" spans="1:4">
      <c r="B27" s="17" t="s">
        <v>1399</v>
      </c>
      <c r="C27" s="17" t="s">
        <v>975</v>
      </c>
      <c r="D27" s="17" t="s">
        <v>975</v>
      </c>
    </row>
    <row r="29" spans="1:4">
      <c r="B29" s="26" t="s">
        <v>1400</v>
      </c>
    </row>
    <row r="30" spans="1:4">
      <c r="B30" s="19" t="s">
        <v>648</v>
      </c>
      <c r="C30" s="19" t="s">
        <v>260</v>
      </c>
      <c r="D30" s="19" t="s">
        <v>1401</v>
      </c>
    </row>
    <row r="31" spans="1:4">
      <c r="B31" s="17" t="s">
        <v>1402</v>
      </c>
      <c r="C31" s="20" t="s">
        <v>1390</v>
      </c>
      <c r="D31" s="17" t="s">
        <v>488</v>
      </c>
    </row>
    <row r="32" spans="1:4">
      <c r="B32" s="17" t="s">
        <v>1402</v>
      </c>
      <c r="C32" s="20" t="s">
        <v>1398</v>
      </c>
      <c r="D32" s="17" t="s">
        <v>488</v>
      </c>
    </row>
    <row r="34" spans="1:5">
      <c r="B34" s="26" t="s">
        <v>1403</v>
      </c>
    </row>
    <row r="35" spans="1:5">
      <c r="B35" s="19" t="s">
        <v>648</v>
      </c>
      <c r="C35" s="19" t="s">
        <v>1391</v>
      </c>
      <c r="D35" s="19" t="s">
        <v>1392</v>
      </c>
    </row>
    <row r="36" spans="1:5">
      <c r="B36" s="17" t="s">
        <v>1390</v>
      </c>
      <c r="C36" s="17" t="s">
        <v>248</v>
      </c>
      <c r="D36" s="17" t="s">
        <v>499</v>
      </c>
    </row>
    <row r="37" spans="1:5">
      <c r="B37" s="17" t="s">
        <v>1398</v>
      </c>
      <c r="C37" s="17" t="s">
        <v>245</v>
      </c>
      <c r="D37" s="17" t="s">
        <v>499</v>
      </c>
    </row>
    <row r="38" spans="1:5">
      <c r="B38" s="17" t="s">
        <v>1398</v>
      </c>
      <c r="C38" s="17" t="s">
        <v>1404</v>
      </c>
      <c r="D38" s="17" t="s">
        <v>1405</v>
      </c>
    </row>
    <row r="39" spans="1:5" ht="15.75" thickBot="1"/>
    <row r="40" spans="1:5" s="23" customFormat="1" ht="15.75" thickTop="1">
      <c r="A40" s="22" t="s">
        <v>658</v>
      </c>
    </row>
    <row r="41" spans="1:5">
      <c r="B41" s="28" t="s">
        <v>1406</v>
      </c>
    </row>
    <row r="42" spans="1:5">
      <c r="B42" s="19" t="s">
        <v>648</v>
      </c>
      <c r="C42" s="19" t="s">
        <v>1407</v>
      </c>
      <c r="D42" s="19" t="s">
        <v>1408</v>
      </c>
      <c r="E42" s="19" t="s">
        <v>980</v>
      </c>
    </row>
    <row r="43" spans="1:5">
      <c r="B43" s="17" t="s">
        <v>56</v>
      </c>
      <c r="C43" s="17" t="s">
        <v>24</v>
      </c>
      <c r="D43" s="17"/>
      <c r="E43" s="17"/>
    </row>
    <row r="44" spans="1:5" ht="15.75" thickBot="1"/>
    <row r="45" spans="1:5" s="23" customFormat="1" ht="15.75" thickTop="1">
      <c r="A45" s="22" t="s">
        <v>1409</v>
      </c>
    </row>
    <row r="46" spans="1:5">
      <c r="B46" s="26" t="s">
        <v>1410</v>
      </c>
    </row>
    <row r="47" spans="1:5">
      <c r="B47" s="19" t="s">
        <v>1411</v>
      </c>
      <c r="C47" s="15"/>
    </row>
    <row r="48" spans="1:5">
      <c r="B48" s="21" t="s">
        <v>1394</v>
      </c>
      <c r="C48" s="15"/>
    </row>
    <row r="49" spans="2:4">
      <c r="B49" s="17" t="s">
        <v>988</v>
      </c>
      <c r="C49" s="15"/>
    </row>
    <row r="51" spans="2:4">
      <c r="B51" s="26" t="s">
        <v>1412</v>
      </c>
    </row>
    <row r="52" spans="2:4">
      <c r="B52" s="19" t="s">
        <v>1413</v>
      </c>
      <c r="C52" s="17"/>
    </row>
    <row r="53" spans="2:4">
      <c r="B53" s="21" t="s">
        <v>1388</v>
      </c>
      <c r="C53" s="20" t="s">
        <v>1</v>
      </c>
    </row>
    <row r="54" spans="2:4">
      <c r="B54" s="17" t="s">
        <v>1414</v>
      </c>
      <c r="C54" s="17" t="s">
        <v>2</v>
      </c>
    </row>
    <row r="55" spans="2:4">
      <c r="B55" s="17" t="s">
        <v>1415</v>
      </c>
      <c r="C55" s="17" t="s">
        <v>1416</v>
      </c>
    </row>
    <row r="56" spans="2:4">
      <c r="B56" s="17" t="s">
        <v>1417</v>
      </c>
      <c r="C56" s="17" t="s">
        <v>1418</v>
      </c>
    </row>
    <row r="57" spans="2:4">
      <c r="B57" s="17" t="s">
        <v>1419</v>
      </c>
      <c r="C57" s="17" t="s">
        <v>1420</v>
      </c>
    </row>
    <row r="59" spans="2:4">
      <c r="B59" s="27" t="s">
        <v>1421</v>
      </c>
    </row>
    <row r="60" spans="2:4" ht="30" customHeight="1">
      <c r="B60" s="24" t="s">
        <v>1422</v>
      </c>
      <c r="C60" s="17"/>
      <c r="D60" s="17"/>
    </row>
    <row r="61" spans="2:4">
      <c r="B61" s="21" t="s">
        <v>1423</v>
      </c>
      <c r="C61" s="20" t="s">
        <v>1398</v>
      </c>
      <c r="D61" s="21" t="s">
        <v>1424</v>
      </c>
    </row>
    <row r="62" spans="2:4">
      <c r="B62" s="17" t="s">
        <v>1252</v>
      </c>
      <c r="C62" s="17" t="s">
        <v>261</v>
      </c>
      <c r="D62" s="17" t="s">
        <v>1197</v>
      </c>
    </row>
    <row r="63" spans="2:4">
      <c r="B63" s="17" t="s">
        <v>1253</v>
      </c>
      <c r="C63" s="17" t="s">
        <v>1425</v>
      </c>
      <c r="D63" s="17" t="s">
        <v>1199</v>
      </c>
    </row>
    <row r="64" spans="2:4">
      <c r="B64" s="17" t="s">
        <v>1426</v>
      </c>
      <c r="C64" s="17" t="s">
        <v>1427</v>
      </c>
      <c r="D64" s="17" t="s">
        <v>1201</v>
      </c>
    </row>
    <row r="66" spans="2:5">
      <c r="B66" s="27" t="s">
        <v>1428</v>
      </c>
    </row>
    <row r="67" spans="2:5">
      <c r="B67" s="19" t="s">
        <v>1429</v>
      </c>
      <c r="C67" s="17"/>
      <c r="D67" s="17"/>
      <c r="E67" s="17"/>
    </row>
    <row r="68" spans="2:5">
      <c r="B68" s="21" t="s">
        <v>918</v>
      </c>
      <c r="C68" s="20" t="s">
        <v>112</v>
      </c>
      <c r="D68" s="20" t="s">
        <v>164</v>
      </c>
      <c r="E68" s="20" t="s">
        <v>77</v>
      </c>
    </row>
    <row r="69" spans="2:5">
      <c r="B69" s="17" t="s">
        <v>164</v>
      </c>
      <c r="C69" s="17" t="s">
        <v>113</v>
      </c>
      <c r="D69" s="17" t="s">
        <v>64</v>
      </c>
      <c r="E69" s="17" t="s">
        <v>162</v>
      </c>
    </row>
    <row r="70" spans="2:5">
      <c r="B70" s="17" t="s">
        <v>1340</v>
      </c>
      <c r="C70" s="17" t="s">
        <v>113</v>
      </c>
      <c r="D70" s="17" t="s">
        <v>162</v>
      </c>
      <c r="E70" s="17" t="s">
        <v>64</v>
      </c>
    </row>
    <row r="71" spans="2:5">
      <c r="B71" s="25" t="s">
        <v>1430</v>
      </c>
      <c r="C71" s="17" t="s">
        <v>113</v>
      </c>
      <c r="D71" s="17" t="s">
        <v>64</v>
      </c>
      <c r="E71" s="17" t="s">
        <v>64</v>
      </c>
    </row>
    <row r="72" spans="2:5">
      <c r="B72" s="17" t="s">
        <v>1341</v>
      </c>
      <c r="C72" s="17" t="s">
        <v>113</v>
      </c>
      <c r="D72" s="17" t="s">
        <v>162</v>
      </c>
      <c r="E72" s="17" t="s">
        <v>162</v>
      </c>
    </row>
    <row r="73" spans="2:5">
      <c r="B73" s="17" t="s">
        <v>1341</v>
      </c>
      <c r="C73" s="17" t="s">
        <v>1342</v>
      </c>
      <c r="D73" s="17" t="s">
        <v>1192</v>
      </c>
      <c r="E73" s="17" t="s">
        <v>1192</v>
      </c>
    </row>
    <row r="74" spans="2:5">
      <c r="B74" s="17" t="s">
        <v>114</v>
      </c>
      <c r="C74" s="17" t="s">
        <v>114</v>
      </c>
      <c r="D74" s="17" t="s">
        <v>1192</v>
      </c>
      <c r="E74" s="17" t="s">
        <v>1192</v>
      </c>
    </row>
    <row r="75" spans="2:5">
      <c r="B75" s="17" t="s">
        <v>115</v>
      </c>
      <c r="C75" s="17" t="s">
        <v>115</v>
      </c>
      <c r="D75" s="17" t="s">
        <v>1192</v>
      </c>
      <c r="E75" s="17" t="s">
        <v>1192</v>
      </c>
    </row>
    <row r="76" spans="2:5">
      <c r="B76" s="17" t="s">
        <v>116</v>
      </c>
      <c r="C76" s="17" t="s">
        <v>116</v>
      </c>
      <c r="D76" s="17" t="s">
        <v>1192</v>
      </c>
      <c r="E76" s="17" t="s">
        <v>1192</v>
      </c>
    </row>
    <row r="77" spans="2:5">
      <c r="B77" s="17" t="s">
        <v>118</v>
      </c>
      <c r="C77" s="17" t="s">
        <v>118</v>
      </c>
      <c r="D77" s="17" t="s">
        <v>1192</v>
      </c>
      <c r="E77" s="17" t="s">
        <v>1192</v>
      </c>
    </row>
    <row r="78" spans="2:5">
      <c r="B78" s="17" t="s">
        <v>117</v>
      </c>
      <c r="C78" s="17" t="s">
        <v>117</v>
      </c>
      <c r="D78" s="17" t="s">
        <v>1192</v>
      </c>
      <c r="E78" s="17" t="s">
        <v>1192</v>
      </c>
    </row>
    <row r="80" spans="2:5">
      <c r="B80" s="27" t="s">
        <v>1431</v>
      </c>
    </row>
    <row r="81" spans="1:6">
      <c r="B81" s="19" t="s">
        <v>664</v>
      </c>
      <c r="C81" s="19" t="s">
        <v>1432</v>
      </c>
      <c r="D81" s="19" t="s">
        <v>1345</v>
      </c>
      <c r="E81" s="19" t="s">
        <v>1433</v>
      </c>
      <c r="F81" s="19" t="s">
        <v>1434</v>
      </c>
    </row>
    <row r="82" spans="1:6" ht="30">
      <c r="B82" s="18" t="s">
        <v>1435</v>
      </c>
      <c r="C82" s="17" t="s">
        <v>975</v>
      </c>
      <c r="D82" s="17" t="s">
        <v>1436</v>
      </c>
      <c r="E82" s="17" t="s">
        <v>975</v>
      </c>
      <c r="F82" s="18" t="s">
        <v>1432</v>
      </c>
    </row>
    <row r="83" spans="1:6" ht="15.75" thickBot="1"/>
    <row r="84" spans="1:6" s="23" customFormat="1" ht="15.75" thickTop="1">
      <c r="A84" s="22" t="s">
        <v>1437</v>
      </c>
    </row>
    <row r="85" spans="1:6">
      <c r="B85" s="26" t="s">
        <v>1438</v>
      </c>
    </row>
    <row r="86" spans="1:6">
      <c r="B86" s="19" t="s">
        <v>649</v>
      </c>
      <c r="C86" s="19" t="s">
        <v>1439</v>
      </c>
    </row>
    <row r="87" spans="1:6">
      <c r="B87" s="17" t="s">
        <v>713</v>
      </c>
      <c r="C87" s="17" t="s">
        <v>714</v>
      </c>
    </row>
    <row r="89" spans="1:6">
      <c r="B89" s="26" t="s">
        <v>1440</v>
      </c>
    </row>
    <row r="90" spans="1:6">
      <c r="B90" s="19" t="s">
        <v>649</v>
      </c>
      <c r="C90" s="19" t="s">
        <v>1439</v>
      </c>
      <c r="D90" s="16"/>
    </row>
    <row r="91" spans="1:6">
      <c r="B91" s="17" t="s">
        <v>757</v>
      </c>
      <c r="C91" s="17" t="s">
        <v>1441</v>
      </c>
      <c r="D91" s="17"/>
    </row>
    <row r="92" spans="1:6">
      <c r="B92" s="17"/>
      <c r="C92" s="17" t="s">
        <v>1442</v>
      </c>
      <c r="D92" s="17">
        <v>3</v>
      </c>
    </row>
    <row r="94" spans="1:6">
      <c r="B94" s="29" t="s">
        <v>1443</v>
      </c>
    </row>
    <row r="95" spans="1:6">
      <c r="B95" s="19" t="s">
        <v>1444</v>
      </c>
      <c r="C95" s="19" t="s">
        <v>1445</v>
      </c>
      <c r="D95" s="19" t="s">
        <v>1446</v>
      </c>
    </row>
    <row r="96" spans="1:6">
      <c r="B96" s="16" t="s">
        <v>719</v>
      </c>
      <c r="C96" s="16" t="s">
        <v>1447</v>
      </c>
      <c r="D96" s="16" t="s">
        <v>1448</v>
      </c>
    </row>
    <row r="97" spans="2:4">
      <c r="B97" s="16" t="s">
        <v>714</v>
      </c>
      <c r="C97" s="16" t="s">
        <v>1449</v>
      </c>
      <c r="D97" s="16" t="s">
        <v>1448</v>
      </c>
    </row>
    <row r="98" spans="2:4">
      <c r="B98" s="16" t="s">
        <v>722</v>
      </c>
      <c r="C98" s="16" t="s">
        <v>1450</v>
      </c>
      <c r="D98" s="16" t="s">
        <v>1448</v>
      </c>
    </row>
    <row r="99" spans="2:4">
      <c r="B99" s="16" t="s">
        <v>1441</v>
      </c>
      <c r="C99" s="16" t="s">
        <v>1451</v>
      </c>
      <c r="D99" s="16" t="s">
        <v>1448</v>
      </c>
    </row>
    <row r="100" spans="2:4">
      <c r="B100" s="16" t="s">
        <v>1452</v>
      </c>
      <c r="C100" s="16" t="s">
        <v>1453</v>
      </c>
      <c r="D100" s="16" t="s">
        <v>1448</v>
      </c>
    </row>
    <row r="101" spans="2:4">
      <c r="B101" s="16" t="s">
        <v>1454</v>
      </c>
      <c r="C101" s="16" t="s">
        <v>1455</v>
      </c>
      <c r="D101" s="16" t="s">
        <v>1448</v>
      </c>
    </row>
    <row r="102" spans="2:4">
      <c r="B102" s="16" t="s">
        <v>1442</v>
      </c>
      <c r="C102" s="16" t="s">
        <v>1456</v>
      </c>
      <c r="D102" s="16" t="s">
        <v>1457</v>
      </c>
    </row>
    <row r="103" spans="2:4">
      <c r="B103" s="16" t="s">
        <v>1458</v>
      </c>
      <c r="C103" s="16" t="s">
        <v>1459</v>
      </c>
      <c r="D103" s="16" t="s">
        <v>1460</v>
      </c>
    </row>
    <row r="104" spans="2:4">
      <c r="B104" s="16" t="s">
        <v>1461</v>
      </c>
      <c r="C104" s="16" t="s">
        <v>1462</v>
      </c>
      <c r="D104" s="16" t="s">
        <v>1463</v>
      </c>
    </row>
  </sheetData>
  <mergeCells count="2">
    <mergeCell ref="A1:B1"/>
    <mergeCell ref="A2:B2"/>
  </mergeCells>
  <phoneticPr fontId="19" type="noConversion"/>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AA175"/>
  <sheetViews>
    <sheetView showGridLines="0" workbookViewId="0">
      <selection activeCell="T183" sqref="T183"/>
    </sheetView>
  </sheetViews>
  <sheetFormatPr defaultColWidth="9.140625" defaultRowHeight="15"/>
  <cols>
    <col min="6" max="6" width="9.7109375" bestFit="1" customWidth="1"/>
    <col min="10" max="10" width="12.28515625" customWidth="1"/>
    <col min="13" max="13" width="15.85546875" customWidth="1"/>
  </cols>
  <sheetData>
    <row r="1" spans="1:12" ht="15.75" thickBot="1"/>
    <row r="2" spans="1:12" s="30" customFormat="1" ht="15.75" thickTop="1">
      <c r="A2" s="154" t="s">
        <v>628</v>
      </c>
      <c r="B2" s="154"/>
    </row>
    <row r="3" spans="1:12">
      <c r="A3" s="163" t="s">
        <v>1464</v>
      </c>
      <c r="B3" s="164"/>
      <c r="C3" s="164"/>
      <c r="D3" s="164"/>
      <c r="E3" s="164"/>
    </row>
    <row r="4" spans="1:12">
      <c r="A4" s="165" t="s">
        <v>1465</v>
      </c>
      <c r="B4" s="166"/>
      <c r="C4" s="166"/>
      <c r="D4" s="166"/>
      <c r="E4" s="166"/>
    </row>
    <row r="5" spans="1:12" ht="15" customHeight="1">
      <c r="A5" s="159" t="s">
        <v>1466</v>
      </c>
      <c r="B5" s="159"/>
      <c r="C5" s="159"/>
      <c r="D5" s="159"/>
      <c r="E5" s="159"/>
    </row>
    <row r="6" spans="1:12" ht="15" customHeight="1">
      <c r="A6" s="159" t="s">
        <v>1467</v>
      </c>
      <c r="B6" s="159"/>
      <c r="C6" s="159"/>
      <c r="D6" s="159"/>
      <c r="E6" s="159"/>
      <c r="F6" s="159"/>
      <c r="G6" s="159"/>
      <c r="H6" s="159"/>
      <c r="I6" s="159"/>
      <c r="J6" s="159"/>
      <c r="K6" s="159"/>
      <c r="L6" s="159"/>
    </row>
    <row r="7" spans="1:12" ht="15" customHeight="1">
      <c r="A7" s="159" t="s">
        <v>1468</v>
      </c>
      <c r="B7" s="159"/>
      <c r="C7" s="159"/>
      <c r="D7" s="159"/>
      <c r="E7" s="159"/>
    </row>
    <row r="8" spans="1:12" ht="15" customHeight="1">
      <c r="A8" s="159" t="s">
        <v>1469</v>
      </c>
      <c r="B8" s="159"/>
      <c r="C8" s="159"/>
      <c r="D8" s="159"/>
      <c r="E8" s="159"/>
    </row>
    <row r="9" spans="1:12" ht="15" customHeight="1">
      <c r="A9" s="159" t="s">
        <v>1470</v>
      </c>
      <c r="B9" s="159"/>
      <c r="C9" s="159"/>
      <c r="D9" s="159"/>
      <c r="E9" s="159"/>
    </row>
    <row r="10" spans="1:12" ht="15.75" thickBot="1"/>
    <row r="11" spans="1:12" s="30" customFormat="1" ht="15.75" thickTop="1">
      <c r="A11" s="154" t="s">
        <v>635</v>
      </c>
      <c r="B11" s="154"/>
    </row>
    <row r="12" spans="1:12">
      <c r="A12" s="160" t="s">
        <v>1471</v>
      </c>
      <c r="B12" s="160"/>
      <c r="C12" s="160"/>
      <c r="D12" s="160"/>
    </row>
    <row r="13" spans="1:12">
      <c r="A13" s="161" t="s">
        <v>1472</v>
      </c>
      <c r="B13" s="161"/>
      <c r="C13" s="161"/>
      <c r="D13" s="161"/>
    </row>
    <row r="14" spans="1:12">
      <c r="A14" s="162" t="s">
        <v>1473</v>
      </c>
      <c r="B14" s="162"/>
      <c r="C14" s="162"/>
      <c r="D14" s="162"/>
    </row>
    <row r="15" spans="1:12">
      <c r="A15" t="s">
        <v>1474</v>
      </c>
    </row>
    <row r="23" spans="1:25" ht="90" customHeight="1">
      <c r="A23" s="24" t="s">
        <v>651</v>
      </c>
      <c r="B23" s="31" t="s">
        <v>665</v>
      </c>
      <c r="C23" s="24" t="s">
        <v>648</v>
      </c>
      <c r="D23" s="24" t="s">
        <v>650</v>
      </c>
      <c r="E23" s="31" t="s">
        <v>516</v>
      </c>
      <c r="F23" s="24" t="s">
        <v>202</v>
      </c>
      <c r="G23" s="24" t="s">
        <v>667</v>
      </c>
      <c r="H23" s="24" t="s">
        <v>1475</v>
      </c>
      <c r="I23" s="24" t="s">
        <v>1476</v>
      </c>
      <c r="J23" s="24" t="s">
        <v>1477</v>
      </c>
      <c r="K23" s="24" t="s">
        <v>1478</v>
      </c>
      <c r="L23" s="24" t="s">
        <v>1479</v>
      </c>
      <c r="M23" s="24" t="s">
        <v>1480</v>
      </c>
      <c r="N23" s="32" t="s">
        <v>649</v>
      </c>
      <c r="O23" s="31" t="s">
        <v>516</v>
      </c>
      <c r="P23" s="32" t="s">
        <v>202</v>
      </c>
      <c r="Q23" s="24" t="s">
        <v>667</v>
      </c>
      <c r="R23" s="32" t="s">
        <v>672</v>
      </c>
      <c r="S23" s="24" t="s">
        <v>1475</v>
      </c>
      <c r="T23" s="24" t="s">
        <v>1476</v>
      </c>
      <c r="U23" s="24" t="s">
        <v>1477</v>
      </c>
      <c r="V23" s="24" t="s">
        <v>1478</v>
      </c>
      <c r="W23" s="24" t="s">
        <v>1479</v>
      </c>
      <c r="X23" s="32" t="s">
        <v>1481</v>
      </c>
      <c r="Y23" s="32" t="s">
        <v>678</v>
      </c>
    </row>
    <row r="24" spans="1:25">
      <c r="A24" s="25" t="s">
        <v>698</v>
      </c>
      <c r="B24" s="25" t="str">
        <f t="shared" ref="B24:B29" si="0">IF(AND(COUNTIF(C:C, C24) &gt; 1, C24 &lt;&gt; "N/A",C24&lt;&gt;"&lt;Empty&gt;",D24&lt;&gt;"Y"), "!!!Same IFN Already Exist!!!", "")</f>
        <v/>
      </c>
      <c r="C24" s="16" t="s">
        <v>56</v>
      </c>
      <c r="D24" s="16" t="s">
        <v>681</v>
      </c>
      <c r="E24" s="16" t="s">
        <v>56</v>
      </c>
      <c r="F24" s="16" t="s">
        <v>1482</v>
      </c>
      <c r="G24" s="16" t="s">
        <v>1483</v>
      </c>
      <c r="H24" s="16">
        <v>9</v>
      </c>
      <c r="I24" s="16" t="s">
        <v>1192</v>
      </c>
      <c r="J24" s="16" t="s">
        <v>1192</v>
      </c>
      <c r="K24" s="16" t="s">
        <v>1192</v>
      </c>
      <c r="L24" s="16" t="s">
        <v>1192</v>
      </c>
      <c r="M24" s="16" t="s">
        <v>1484</v>
      </c>
      <c r="N24" s="16" t="s">
        <v>757</v>
      </c>
      <c r="O24" s="16" t="s">
        <v>757</v>
      </c>
      <c r="P24" s="16" t="s">
        <v>1485</v>
      </c>
      <c r="Q24" s="16" t="s">
        <v>1486</v>
      </c>
      <c r="R24" s="16" t="b">
        <v>1</v>
      </c>
      <c r="S24" s="16">
        <v>3</v>
      </c>
      <c r="T24" s="16" t="s">
        <v>1487</v>
      </c>
      <c r="U24" s="16" t="s">
        <v>1192</v>
      </c>
      <c r="V24" s="16" t="s">
        <v>1192</v>
      </c>
      <c r="W24" s="16" t="s">
        <v>1192</v>
      </c>
      <c r="X24" s="16" t="s">
        <v>1488</v>
      </c>
      <c r="Y24" s="16" t="s">
        <v>1489</v>
      </c>
    </row>
    <row r="25" spans="1:25">
      <c r="A25" s="25" t="s">
        <v>698</v>
      </c>
      <c r="B25" s="25" t="str">
        <f t="shared" si="0"/>
        <v/>
      </c>
      <c r="C25" s="17" t="s">
        <v>1185</v>
      </c>
      <c r="D25" s="17"/>
      <c r="E25" s="16" t="str">
        <f>TRIM(C25)</f>
        <v>&lt;Empty&gt;</v>
      </c>
      <c r="F25" s="16" t="s">
        <v>1482</v>
      </c>
      <c r="G25" s="16" t="s">
        <v>1483</v>
      </c>
      <c r="H25" s="16">
        <v>9</v>
      </c>
      <c r="I25" s="16" t="s">
        <v>1192</v>
      </c>
      <c r="J25" s="16" t="s">
        <v>1192</v>
      </c>
      <c r="K25" s="16" t="s">
        <v>1192</v>
      </c>
      <c r="L25" s="16" t="s">
        <v>1192</v>
      </c>
      <c r="M25" s="16" t="s">
        <v>1484</v>
      </c>
      <c r="N25" s="16" t="s">
        <v>759</v>
      </c>
      <c r="O25" s="16" t="s">
        <v>759</v>
      </c>
      <c r="P25" s="16" t="s">
        <v>1485</v>
      </c>
      <c r="Q25" s="16" t="s">
        <v>1486</v>
      </c>
      <c r="R25" s="16" t="b">
        <v>1</v>
      </c>
      <c r="S25" s="16">
        <v>2</v>
      </c>
      <c r="T25" s="16" t="s">
        <v>1490</v>
      </c>
      <c r="U25" s="16" t="s">
        <v>1192</v>
      </c>
      <c r="V25" s="16" t="s">
        <v>1192</v>
      </c>
      <c r="W25" s="16" t="s">
        <v>1192</v>
      </c>
      <c r="X25" s="16" t="s">
        <v>1488</v>
      </c>
      <c r="Y25" s="16" t="s">
        <v>1491</v>
      </c>
    </row>
    <row r="26" spans="1:25">
      <c r="A26" s="25" t="s">
        <v>698</v>
      </c>
      <c r="B26" s="25" t="str">
        <f t="shared" si="0"/>
        <v/>
      </c>
      <c r="C26" s="17" t="s">
        <v>1185</v>
      </c>
      <c r="D26" s="17"/>
      <c r="E26" s="16" t="str">
        <f>TRIM(C26)</f>
        <v>&lt;Empty&gt;</v>
      </c>
      <c r="F26" s="16" t="s">
        <v>1482</v>
      </c>
      <c r="G26" s="16" t="s">
        <v>1483</v>
      </c>
      <c r="H26" s="16">
        <v>9</v>
      </c>
      <c r="I26" s="16" t="s">
        <v>1192</v>
      </c>
      <c r="J26" s="16" t="s">
        <v>1192</v>
      </c>
      <c r="K26" s="16" t="s">
        <v>1192</v>
      </c>
      <c r="L26" s="16" t="s">
        <v>1192</v>
      </c>
      <c r="M26" s="16" t="s">
        <v>1484</v>
      </c>
      <c r="N26" s="16" t="s">
        <v>761</v>
      </c>
      <c r="O26" s="16" t="s">
        <v>761</v>
      </c>
      <c r="P26" s="16" t="s">
        <v>1485</v>
      </c>
      <c r="Q26" s="16" t="s">
        <v>1486</v>
      </c>
      <c r="R26" s="16" t="b">
        <v>1</v>
      </c>
      <c r="S26" s="16">
        <v>4</v>
      </c>
      <c r="T26" s="16" t="s">
        <v>1492</v>
      </c>
      <c r="U26" s="16" t="s">
        <v>1192</v>
      </c>
      <c r="V26" s="16" t="s">
        <v>1192</v>
      </c>
      <c r="W26" s="16" t="s">
        <v>1192</v>
      </c>
      <c r="X26" s="16" t="s">
        <v>1488</v>
      </c>
      <c r="Y26" s="16" t="s">
        <v>1493</v>
      </c>
    </row>
    <row r="27" spans="1:25">
      <c r="A27" s="25" t="s">
        <v>698</v>
      </c>
      <c r="B27" s="25" t="str">
        <f t="shared" si="0"/>
        <v/>
      </c>
      <c r="C27" s="16" t="s">
        <v>56</v>
      </c>
      <c r="D27" s="16" t="s">
        <v>681</v>
      </c>
      <c r="E27" s="16" t="str">
        <f>TRIM(C27)</f>
        <v>SSN</v>
      </c>
      <c r="F27" s="16" t="s">
        <v>1482</v>
      </c>
      <c r="G27" s="16" t="s">
        <v>1483</v>
      </c>
      <c r="H27" s="16">
        <v>9</v>
      </c>
      <c r="I27" s="16" t="s">
        <v>1192</v>
      </c>
      <c r="J27" s="16" t="s">
        <v>1192</v>
      </c>
      <c r="K27" s="16" t="s">
        <v>1192</v>
      </c>
      <c r="L27" s="16" t="s">
        <v>1192</v>
      </c>
      <c r="M27" s="16" t="s">
        <v>1494</v>
      </c>
      <c r="N27" s="16" t="s">
        <v>700</v>
      </c>
      <c r="O27" s="16" t="s">
        <v>761</v>
      </c>
      <c r="P27" s="16" t="s">
        <v>1485</v>
      </c>
      <c r="Q27" s="16" t="s">
        <v>1486</v>
      </c>
      <c r="R27" s="16" t="b">
        <v>1</v>
      </c>
      <c r="S27" s="16">
        <v>9</v>
      </c>
      <c r="T27" s="16"/>
      <c r="U27" s="16" t="s">
        <v>1192</v>
      </c>
      <c r="V27" s="16" t="s">
        <v>1192</v>
      </c>
      <c r="W27" s="16" t="s">
        <v>1192</v>
      </c>
      <c r="X27" s="16" t="s">
        <v>1488</v>
      </c>
      <c r="Y27" s="16" t="s">
        <v>1493</v>
      </c>
    </row>
    <row r="28" spans="1:25">
      <c r="A28" s="25" t="s">
        <v>698</v>
      </c>
      <c r="B28" s="25" t="str">
        <f t="shared" si="0"/>
        <v>!!!Same IFN Already Exist!!!</v>
      </c>
      <c r="C28" s="16" t="s">
        <v>56</v>
      </c>
      <c r="D28" s="16"/>
      <c r="E28" s="16" t="str">
        <f>TRIM(C28)</f>
        <v>SSN</v>
      </c>
      <c r="F28" s="16" t="s">
        <v>1482</v>
      </c>
      <c r="G28" s="16" t="s">
        <v>1483</v>
      </c>
      <c r="H28" s="16">
        <v>9</v>
      </c>
      <c r="I28" s="16" t="s">
        <v>1192</v>
      </c>
      <c r="J28" s="16" t="s">
        <v>1192</v>
      </c>
      <c r="K28" s="16" t="s">
        <v>1192</v>
      </c>
      <c r="L28" s="16" t="s">
        <v>1192</v>
      </c>
      <c r="M28" s="16" t="s">
        <v>1484</v>
      </c>
      <c r="N28" s="16" t="s">
        <v>1495</v>
      </c>
      <c r="O28" s="16" t="s">
        <v>761</v>
      </c>
      <c r="P28" s="16" t="s">
        <v>1485</v>
      </c>
      <c r="Q28" s="16" t="s">
        <v>1486</v>
      </c>
      <c r="R28" s="16" t="b">
        <v>1</v>
      </c>
      <c r="S28" s="16">
        <v>4</v>
      </c>
      <c r="T28" s="16" t="s">
        <v>1492</v>
      </c>
      <c r="U28" s="16" t="s">
        <v>1192</v>
      </c>
      <c r="V28" s="16" t="s">
        <v>1192</v>
      </c>
      <c r="W28" s="16" t="s">
        <v>1192</v>
      </c>
      <c r="X28" s="16" t="s">
        <v>1488</v>
      </c>
      <c r="Y28" s="16" t="s">
        <v>1493</v>
      </c>
    </row>
    <row r="29" spans="1:25" ht="15" customHeight="1">
      <c r="A29" s="25" t="s">
        <v>698</v>
      </c>
      <c r="B29" s="25" t="str">
        <f t="shared" si="0"/>
        <v/>
      </c>
      <c r="C29" s="16" t="s">
        <v>1496</v>
      </c>
      <c r="D29" s="16"/>
      <c r="E29" s="16" t="str">
        <f>TRIM(C29)</f>
        <v>Group Name:</v>
      </c>
      <c r="F29" s="16" t="s">
        <v>1482</v>
      </c>
      <c r="G29" s="33" t="s">
        <v>1497</v>
      </c>
      <c r="H29" s="16">
        <v>9</v>
      </c>
      <c r="I29" s="16" t="s">
        <v>1192</v>
      </c>
      <c r="J29" s="16" t="s">
        <v>1192</v>
      </c>
      <c r="K29" s="16" t="s">
        <v>1192</v>
      </c>
      <c r="L29" s="16" t="s">
        <v>1192</v>
      </c>
      <c r="M29" s="16" t="s">
        <v>1484</v>
      </c>
      <c r="N29" s="16" t="s">
        <v>1388</v>
      </c>
      <c r="O29" s="16" t="s">
        <v>1388</v>
      </c>
      <c r="P29" s="16" t="s">
        <v>1485</v>
      </c>
      <c r="Q29" s="33" t="s">
        <v>1498</v>
      </c>
      <c r="R29" s="16" t="b">
        <v>1</v>
      </c>
      <c r="S29" s="16">
        <v>4</v>
      </c>
      <c r="T29" s="16" t="s">
        <v>1492</v>
      </c>
      <c r="U29" s="16" t="b">
        <v>1</v>
      </c>
      <c r="V29" s="16" t="s">
        <v>1192</v>
      </c>
      <c r="W29" s="16" t="s">
        <v>1192</v>
      </c>
      <c r="X29" s="16" t="s">
        <v>1488</v>
      </c>
      <c r="Y29" s="16" t="s">
        <v>1493</v>
      </c>
    </row>
    <row r="31" spans="1:25" ht="15" customHeight="1">
      <c r="B31" t="s">
        <v>695</v>
      </c>
    </row>
    <row r="42" spans="1:6">
      <c r="A42" s="26" t="s">
        <v>1499</v>
      </c>
    </row>
    <row r="43" spans="1:6">
      <c r="A43" s="26" t="s">
        <v>1387</v>
      </c>
    </row>
    <row r="44" spans="1:6">
      <c r="A44" s="151" t="s">
        <v>649</v>
      </c>
      <c r="B44" s="151"/>
      <c r="C44" s="151" t="s">
        <v>648</v>
      </c>
      <c r="D44" s="151"/>
    </row>
    <row r="45" spans="1:6">
      <c r="A45" s="143" t="s">
        <v>1388</v>
      </c>
      <c r="B45" s="143"/>
      <c r="C45" s="143" t="s">
        <v>1</v>
      </c>
      <c r="D45" s="143"/>
    </row>
    <row r="47" spans="1:6">
      <c r="A47" s="26" t="s">
        <v>1389</v>
      </c>
    </row>
    <row r="48" spans="1:6">
      <c r="A48" s="151" t="s">
        <v>649</v>
      </c>
      <c r="B48" s="151"/>
      <c r="C48" s="151"/>
      <c r="D48" s="151" t="s">
        <v>648</v>
      </c>
      <c r="E48" s="151"/>
      <c r="F48" s="151"/>
    </row>
    <row r="49" spans="1:10">
      <c r="A49" s="143" t="s">
        <v>1390</v>
      </c>
      <c r="B49" s="143"/>
      <c r="C49" s="143"/>
      <c r="D49" s="143" t="s">
        <v>1390</v>
      </c>
      <c r="E49" s="143"/>
      <c r="F49" s="143"/>
    </row>
    <row r="50" spans="1:10">
      <c r="A50" s="143" t="s">
        <v>1390</v>
      </c>
      <c r="B50" s="143"/>
      <c r="C50" s="143"/>
      <c r="D50" s="143" t="s">
        <v>1391</v>
      </c>
      <c r="E50" s="143"/>
      <c r="F50" s="143"/>
    </row>
    <row r="51" spans="1:10">
      <c r="A51" s="143" t="s">
        <v>1390</v>
      </c>
      <c r="B51" s="143"/>
      <c r="C51" s="143"/>
      <c r="D51" s="143" t="s">
        <v>1392</v>
      </c>
      <c r="E51" s="143"/>
      <c r="F51" s="143"/>
    </row>
    <row r="53" spans="1:10">
      <c r="A53" s="26" t="s">
        <v>1500</v>
      </c>
    </row>
    <row r="54" spans="1:10">
      <c r="A54" s="151" t="s">
        <v>649</v>
      </c>
      <c r="B54" s="151"/>
      <c r="C54" s="151" t="s">
        <v>648</v>
      </c>
      <c r="D54" s="151"/>
    </row>
    <row r="55" spans="1:10">
      <c r="A55" s="143" t="s">
        <v>1394</v>
      </c>
      <c r="B55" s="143"/>
      <c r="C55" s="143" t="s">
        <v>1192</v>
      </c>
      <c r="D55" s="143"/>
    </row>
    <row r="56" spans="1:10" ht="15.75" thickBot="1"/>
    <row r="57" spans="1:10" s="30" customFormat="1" ht="15.75" thickTop="1">
      <c r="A57" s="154" t="s">
        <v>656</v>
      </c>
      <c r="B57" s="154"/>
    </row>
    <row r="59" spans="1:10">
      <c r="A59" s="26" t="s">
        <v>1395</v>
      </c>
    </row>
    <row r="60" spans="1:10">
      <c r="A60" t="s">
        <v>1396</v>
      </c>
    </row>
    <row r="61" spans="1:10">
      <c r="A61" s="135" t="s">
        <v>1390</v>
      </c>
      <c r="B61" s="135"/>
      <c r="C61" s="135"/>
      <c r="D61" s="135" t="s">
        <v>1391</v>
      </c>
      <c r="E61" s="135"/>
      <c r="F61" s="135"/>
      <c r="G61" s="135" t="s">
        <v>1392</v>
      </c>
      <c r="H61" s="135"/>
      <c r="I61" s="135"/>
      <c r="J61" s="135"/>
    </row>
    <row r="62" spans="1:10">
      <c r="A62" s="144" t="s">
        <v>975</v>
      </c>
      <c r="B62" s="144"/>
      <c r="C62" s="144"/>
      <c r="D62" s="143" t="s">
        <v>248</v>
      </c>
      <c r="E62" s="143"/>
      <c r="F62" s="143"/>
      <c r="G62" s="143" t="s">
        <v>499</v>
      </c>
      <c r="H62" s="143"/>
      <c r="I62" s="143"/>
      <c r="J62" s="143"/>
    </row>
    <row r="63" spans="1:10">
      <c r="A63" s="15"/>
      <c r="B63" s="15"/>
      <c r="C63" s="15"/>
    </row>
    <row r="64" spans="1:10">
      <c r="A64" s="26" t="s">
        <v>1397</v>
      </c>
    </row>
    <row r="65" spans="1:10">
      <c r="A65" s="135" t="s">
        <v>717</v>
      </c>
      <c r="B65" s="135"/>
      <c r="C65" s="135"/>
      <c r="D65" s="135" t="s">
        <v>1390</v>
      </c>
      <c r="E65" s="135"/>
      <c r="F65" s="135"/>
    </row>
    <row r="66" spans="1:10">
      <c r="A66" s="143" t="s">
        <v>975</v>
      </c>
      <c r="B66" s="143"/>
      <c r="C66" s="143"/>
      <c r="D66" s="143" t="s">
        <v>975</v>
      </c>
      <c r="E66" s="143"/>
      <c r="F66" s="143"/>
    </row>
    <row r="68" spans="1:10">
      <c r="A68" s="26" t="s">
        <v>1400</v>
      </c>
    </row>
    <row r="69" spans="1:10">
      <c r="A69" s="135" t="s">
        <v>1402</v>
      </c>
      <c r="B69" s="135"/>
      <c r="C69" s="135"/>
      <c r="D69" s="135" t="s">
        <v>260</v>
      </c>
      <c r="E69" s="135"/>
      <c r="F69" s="135"/>
      <c r="G69" s="135" t="s">
        <v>1401</v>
      </c>
      <c r="H69" s="135"/>
      <c r="I69" s="135"/>
    </row>
    <row r="70" spans="1:10">
      <c r="A70" s="144" t="s">
        <v>975</v>
      </c>
      <c r="B70" s="144"/>
      <c r="C70" s="144"/>
      <c r="D70" s="135" t="s">
        <v>1390</v>
      </c>
      <c r="E70" s="135"/>
      <c r="F70" s="135"/>
      <c r="G70" s="143" t="s">
        <v>488</v>
      </c>
      <c r="H70" s="143"/>
      <c r="I70" s="143"/>
    </row>
    <row r="71" spans="1:10">
      <c r="A71" s="144" t="s">
        <v>975</v>
      </c>
      <c r="B71" s="144"/>
      <c r="C71" s="144"/>
      <c r="D71" s="135" t="s">
        <v>1398</v>
      </c>
      <c r="E71" s="135"/>
      <c r="F71" s="135"/>
      <c r="G71" s="143" t="s">
        <v>488</v>
      </c>
      <c r="H71" s="143"/>
      <c r="I71" s="143"/>
    </row>
    <row r="73" spans="1:10">
      <c r="A73" s="46" t="s">
        <v>1501</v>
      </c>
    </row>
    <row r="74" spans="1:10">
      <c r="A74" s="135" t="s">
        <v>1390</v>
      </c>
      <c r="B74" s="135"/>
      <c r="C74" s="135"/>
      <c r="D74" s="135" t="s">
        <v>1391</v>
      </c>
      <c r="E74" s="135"/>
      <c r="F74" s="135"/>
      <c r="G74" s="156" t="s">
        <v>1392</v>
      </c>
      <c r="H74" s="157"/>
      <c r="I74" s="157"/>
      <c r="J74" s="158"/>
    </row>
    <row r="75" spans="1:10">
      <c r="A75" s="144" t="s">
        <v>975</v>
      </c>
      <c r="B75" s="144"/>
      <c r="C75" s="144"/>
      <c r="D75" s="143" t="s">
        <v>248</v>
      </c>
      <c r="E75" s="143"/>
      <c r="F75" s="143"/>
      <c r="G75" s="138" t="s">
        <v>499</v>
      </c>
      <c r="H75" s="153"/>
      <c r="I75" s="153"/>
      <c r="J75" s="139"/>
    </row>
    <row r="76" spans="1:10">
      <c r="A76" s="144" t="s">
        <v>975</v>
      </c>
      <c r="B76" s="144"/>
      <c r="C76" s="144"/>
      <c r="D76" s="143" t="s">
        <v>245</v>
      </c>
      <c r="E76" s="143"/>
      <c r="F76" s="143"/>
      <c r="G76" s="143" t="s">
        <v>499</v>
      </c>
      <c r="H76" s="143"/>
      <c r="I76" s="143"/>
      <c r="J76" s="143"/>
    </row>
    <row r="77" spans="1:10">
      <c r="A77" s="144" t="s">
        <v>975</v>
      </c>
      <c r="B77" s="144"/>
      <c r="C77" s="144"/>
      <c r="D77" s="143" t="s">
        <v>1404</v>
      </c>
      <c r="E77" s="143"/>
      <c r="F77" s="143"/>
      <c r="G77" s="143" t="s">
        <v>1405</v>
      </c>
      <c r="H77" s="143"/>
      <c r="I77" s="143"/>
      <c r="J77" s="143"/>
    </row>
    <row r="78" spans="1:10" ht="15.75" thickBot="1"/>
    <row r="79" spans="1:10" s="30" customFormat="1" ht="15.75" thickTop="1">
      <c r="A79" s="154" t="s">
        <v>658</v>
      </c>
      <c r="B79" s="154"/>
    </row>
    <row r="81" spans="1:12">
      <c r="A81" s="28" t="s">
        <v>1406</v>
      </c>
    </row>
    <row r="82" spans="1:12">
      <c r="A82" s="19" t="s">
        <v>648</v>
      </c>
      <c r="B82" s="151" t="s">
        <v>1407</v>
      </c>
      <c r="C82" s="151"/>
      <c r="D82" s="151"/>
      <c r="E82" s="151"/>
      <c r="F82" s="151"/>
      <c r="G82" s="151" t="s">
        <v>1408</v>
      </c>
      <c r="H82" s="151"/>
      <c r="I82" s="151"/>
      <c r="J82" s="151" t="s">
        <v>980</v>
      </c>
      <c r="K82" s="151"/>
      <c r="L82" s="151"/>
    </row>
    <row r="83" spans="1:12">
      <c r="A83" s="17" t="s">
        <v>56</v>
      </c>
      <c r="B83" s="143" t="s">
        <v>24</v>
      </c>
      <c r="C83" s="143"/>
      <c r="D83" s="143"/>
      <c r="E83" s="143"/>
      <c r="F83" s="143"/>
      <c r="G83" s="143" t="s">
        <v>1192</v>
      </c>
      <c r="H83" s="143"/>
      <c r="I83" s="143"/>
      <c r="J83" s="143" t="s">
        <v>1192</v>
      </c>
      <c r="K83" s="143"/>
      <c r="L83" s="143"/>
    </row>
    <row r="84" spans="1:12" ht="15.75" thickBot="1"/>
    <row r="85" spans="1:12" s="30" customFormat="1" ht="15.75" thickTop="1">
      <c r="A85" s="154" t="s">
        <v>660</v>
      </c>
      <c r="B85" s="154"/>
    </row>
    <row r="86" spans="1:12">
      <c r="A86" s="26" t="s">
        <v>1502</v>
      </c>
    </row>
    <row r="87" spans="1:12">
      <c r="A87" t="s">
        <v>1503</v>
      </c>
    </row>
    <row r="88" spans="1:12">
      <c r="A88" t="s">
        <v>1504</v>
      </c>
    </row>
    <row r="89" spans="1:12">
      <c r="A89" t="s">
        <v>1505</v>
      </c>
    </row>
    <row r="90" spans="1:12">
      <c r="A90" t="s">
        <v>1506</v>
      </c>
    </row>
    <row r="91" spans="1:12" s="48" customFormat="1">
      <c r="A91" s="48" t="s">
        <v>1507</v>
      </c>
    </row>
    <row r="93" spans="1:12">
      <c r="A93" s="50" t="s">
        <v>1508</v>
      </c>
    </row>
    <row r="94" spans="1:12">
      <c r="A94" s="50" t="s">
        <v>1509</v>
      </c>
    </row>
    <row r="95" spans="1:12">
      <c r="A95" s="50" t="s">
        <v>1510</v>
      </c>
    </row>
    <row r="96" spans="1:12">
      <c r="A96" s="136" t="s">
        <v>1394</v>
      </c>
      <c r="B96" s="136"/>
    </row>
    <row r="97" spans="1:13">
      <c r="A97" s="143" t="s">
        <v>988</v>
      </c>
      <c r="B97" s="143"/>
    </row>
    <row r="99" spans="1:13">
      <c r="A99" s="26" t="s">
        <v>1412</v>
      </c>
    </row>
    <row r="100" spans="1:13">
      <c r="A100" s="136" t="s">
        <v>1388</v>
      </c>
      <c r="B100" s="136"/>
      <c r="C100" s="136"/>
      <c r="D100" s="135" t="s">
        <v>1</v>
      </c>
      <c r="E100" s="135"/>
      <c r="F100" s="135"/>
    </row>
    <row r="101" spans="1:13">
      <c r="A101" s="143" t="s">
        <v>1414</v>
      </c>
      <c r="B101" s="143"/>
      <c r="C101" s="143"/>
      <c r="D101" s="143" t="s">
        <v>2</v>
      </c>
      <c r="E101" s="143"/>
      <c r="F101" s="143"/>
    </row>
    <row r="102" spans="1:13">
      <c r="A102" s="143" t="s">
        <v>1415</v>
      </c>
      <c r="B102" s="143"/>
      <c r="C102" s="143"/>
      <c r="D102" s="143" t="s">
        <v>1416</v>
      </c>
      <c r="E102" s="143"/>
      <c r="F102" s="143"/>
    </row>
    <row r="103" spans="1:13">
      <c r="A103" s="143" t="s">
        <v>1417</v>
      </c>
      <c r="B103" s="143"/>
      <c r="C103" s="143"/>
      <c r="D103" s="143" t="s">
        <v>1418</v>
      </c>
      <c r="E103" s="143"/>
      <c r="F103" s="143"/>
    </row>
    <row r="105" spans="1:13">
      <c r="A105" s="27" t="s">
        <v>1421</v>
      </c>
    </row>
    <row r="106" spans="1:13">
      <c r="A106" s="136" t="s">
        <v>1423</v>
      </c>
      <c r="B106" s="136"/>
      <c r="C106" s="136"/>
      <c r="D106" s="135" t="s">
        <v>1398</v>
      </c>
      <c r="E106" s="135"/>
      <c r="F106" s="135"/>
      <c r="G106" s="135"/>
      <c r="H106" s="135"/>
      <c r="I106" s="135"/>
      <c r="J106" s="135"/>
      <c r="K106" s="136" t="s">
        <v>1424</v>
      </c>
      <c r="L106" s="136"/>
      <c r="M106" s="136"/>
    </row>
    <row r="107" spans="1:13">
      <c r="A107" s="143" t="s">
        <v>1252</v>
      </c>
      <c r="B107" s="143"/>
      <c r="C107" s="143"/>
      <c r="D107" s="143" t="s">
        <v>261</v>
      </c>
      <c r="E107" s="143"/>
      <c r="F107" s="143"/>
      <c r="G107" s="143"/>
      <c r="H107" s="143"/>
      <c r="I107" s="143"/>
      <c r="J107" s="143"/>
      <c r="K107" s="143" t="s">
        <v>1197</v>
      </c>
      <c r="L107" s="143"/>
      <c r="M107" s="143"/>
    </row>
    <row r="108" spans="1:13">
      <c r="A108" s="143" t="s">
        <v>1253</v>
      </c>
      <c r="B108" s="143"/>
      <c r="C108" s="143"/>
      <c r="D108" s="143" t="s">
        <v>1425</v>
      </c>
      <c r="E108" s="143"/>
      <c r="F108" s="143"/>
      <c r="G108" s="143"/>
      <c r="H108" s="143"/>
      <c r="I108" s="143"/>
      <c r="J108" s="143"/>
      <c r="K108" s="143" t="s">
        <v>1199</v>
      </c>
      <c r="L108" s="143"/>
      <c r="M108" s="143"/>
    </row>
    <row r="109" spans="1:13">
      <c r="A109" s="143" t="s">
        <v>1426</v>
      </c>
      <c r="B109" s="143"/>
      <c r="C109" s="143"/>
      <c r="D109" s="143" t="s">
        <v>1427</v>
      </c>
      <c r="E109" s="143"/>
      <c r="F109" s="143"/>
      <c r="G109" s="143"/>
      <c r="H109" s="143"/>
      <c r="I109" s="143"/>
      <c r="J109" s="143"/>
      <c r="K109" s="143" t="s">
        <v>1201</v>
      </c>
      <c r="L109" s="143"/>
      <c r="M109" s="143"/>
    </row>
    <row r="111" spans="1:13">
      <c r="A111" s="27" t="s">
        <v>1428</v>
      </c>
    </row>
    <row r="112" spans="1:13">
      <c r="A112" s="136" t="s">
        <v>918</v>
      </c>
      <c r="B112" s="136"/>
      <c r="C112" s="136"/>
      <c r="D112" s="135" t="s">
        <v>112</v>
      </c>
      <c r="E112" s="135"/>
      <c r="F112" s="135"/>
      <c r="G112" s="20" t="s">
        <v>164</v>
      </c>
      <c r="H112" s="20" t="s">
        <v>77</v>
      </c>
    </row>
    <row r="113" spans="1:12">
      <c r="A113" s="143" t="s">
        <v>164</v>
      </c>
      <c r="B113" s="143"/>
      <c r="C113" s="143"/>
      <c r="D113" s="143" t="s">
        <v>113</v>
      </c>
      <c r="E113" s="143"/>
      <c r="F113" s="143"/>
      <c r="G113" s="17" t="s">
        <v>64</v>
      </c>
      <c r="H113" s="17" t="s">
        <v>162</v>
      </c>
    </row>
    <row r="114" spans="1:12">
      <c r="A114" s="143" t="s">
        <v>1340</v>
      </c>
      <c r="B114" s="143"/>
      <c r="C114" s="143"/>
      <c r="D114" s="143" t="s">
        <v>113</v>
      </c>
      <c r="E114" s="143"/>
      <c r="F114" s="143"/>
      <c r="G114" s="17" t="s">
        <v>162</v>
      </c>
      <c r="H114" s="17" t="s">
        <v>64</v>
      </c>
    </row>
    <row r="115" spans="1:12">
      <c r="A115" s="143" t="s">
        <v>1341</v>
      </c>
      <c r="B115" s="143"/>
      <c r="C115" s="143"/>
      <c r="D115" s="143" t="s">
        <v>113</v>
      </c>
      <c r="E115" s="143"/>
      <c r="F115" s="143"/>
      <c r="G115" s="17" t="s">
        <v>162</v>
      </c>
      <c r="H115" s="17" t="s">
        <v>162</v>
      </c>
    </row>
    <row r="116" spans="1:12">
      <c r="A116" s="143" t="s">
        <v>1341</v>
      </c>
      <c r="B116" s="143"/>
      <c r="C116" s="143"/>
      <c r="D116" s="143" t="s">
        <v>1342</v>
      </c>
      <c r="E116" s="143"/>
      <c r="F116" s="143"/>
      <c r="G116" s="17" t="s">
        <v>1192</v>
      </c>
      <c r="H116" s="17" t="s">
        <v>1192</v>
      </c>
    </row>
    <row r="117" spans="1:12">
      <c r="A117" s="143" t="s">
        <v>114</v>
      </c>
      <c r="B117" s="143"/>
      <c r="C117" s="143"/>
      <c r="D117" s="143" t="s">
        <v>114</v>
      </c>
      <c r="E117" s="143"/>
      <c r="F117" s="143"/>
      <c r="G117" s="17" t="s">
        <v>1192</v>
      </c>
      <c r="H117" s="17" t="s">
        <v>1192</v>
      </c>
    </row>
    <row r="118" spans="1:12">
      <c r="A118" s="143" t="s">
        <v>115</v>
      </c>
      <c r="B118" s="143"/>
      <c r="C118" s="143"/>
      <c r="D118" s="143" t="s">
        <v>115</v>
      </c>
      <c r="E118" s="143"/>
      <c r="F118" s="143"/>
      <c r="G118" s="17" t="s">
        <v>1192</v>
      </c>
      <c r="H118" s="17" t="s">
        <v>1192</v>
      </c>
    </row>
    <row r="119" spans="1:12">
      <c r="A119" s="143" t="s">
        <v>116</v>
      </c>
      <c r="B119" s="143"/>
      <c r="C119" s="143"/>
      <c r="D119" s="143" t="s">
        <v>116</v>
      </c>
      <c r="E119" s="143"/>
      <c r="F119" s="143"/>
      <c r="G119" s="17" t="s">
        <v>1192</v>
      </c>
      <c r="H119" s="17" t="s">
        <v>1192</v>
      </c>
    </row>
    <row r="121" spans="1:12">
      <c r="A121" s="27" t="s">
        <v>1511</v>
      </c>
    </row>
    <row r="122" spans="1:12">
      <c r="A122" s="21" t="s">
        <v>918</v>
      </c>
      <c r="B122" s="135" t="s">
        <v>112</v>
      </c>
      <c r="C122" s="135"/>
    </row>
    <row r="123" spans="1:12">
      <c r="A123" s="17" t="s">
        <v>164</v>
      </c>
      <c r="B123" s="143" t="s">
        <v>113</v>
      </c>
      <c r="C123" s="143"/>
    </row>
    <row r="124" spans="1:12">
      <c r="A124" s="17" t="s">
        <v>1512</v>
      </c>
      <c r="B124" s="143" t="s">
        <v>1185</v>
      </c>
      <c r="C124" s="143"/>
    </row>
    <row r="126" spans="1:12">
      <c r="A126" s="27" t="s">
        <v>1513</v>
      </c>
    </row>
    <row r="127" spans="1:12">
      <c r="A127" t="s">
        <v>1514</v>
      </c>
    </row>
    <row r="128" spans="1:12">
      <c r="A128" s="136" t="s">
        <v>779</v>
      </c>
      <c r="B128" s="136"/>
      <c r="C128" s="144" t="s">
        <v>1344</v>
      </c>
      <c r="D128" s="144"/>
      <c r="E128" s="156" t="s">
        <v>1399</v>
      </c>
      <c r="F128" s="157"/>
      <c r="G128" s="158"/>
      <c r="H128" s="16" t="s">
        <v>1345</v>
      </c>
      <c r="I128" s="20" t="s">
        <v>53</v>
      </c>
      <c r="J128" s="16" t="s">
        <v>1345</v>
      </c>
      <c r="K128" s="144" t="s">
        <v>1346</v>
      </c>
      <c r="L128" s="144"/>
    </row>
    <row r="129" spans="1:19" ht="30" customHeight="1">
      <c r="A129" s="145" t="s">
        <v>62</v>
      </c>
      <c r="B129" s="145"/>
      <c r="C129" s="143" t="s">
        <v>928</v>
      </c>
      <c r="D129" s="143"/>
      <c r="E129" s="138" t="s">
        <v>975</v>
      </c>
      <c r="F129" s="153"/>
      <c r="G129" s="139"/>
      <c r="H129" s="17" t="s">
        <v>1348</v>
      </c>
      <c r="I129" s="17" t="s">
        <v>975</v>
      </c>
      <c r="J129" s="17" t="s">
        <v>1350</v>
      </c>
      <c r="K129" s="143" t="s">
        <v>1515</v>
      </c>
      <c r="L129" s="143"/>
    </row>
    <row r="130" spans="1:19">
      <c r="A130" s="145" t="s">
        <v>162</v>
      </c>
      <c r="B130" s="145"/>
      <c r="C130" s="138" t="s">
        <v>928</v>
      </c>
      <c r="D130" s="139"/>
      <c r="E130" s="138" t="s">
        <v>975</v>
      </c>
      <c r="F130" s="153"/>
      <c r="G130" s="139"/>
      <c r="H130" s="17" t="s">
        <v>1348</v>
      </c>
      <c r="I130" s="17" t="s">
        <v>975</v>
      </c>
      <c r="J130" s="17" t="s">
        <v>1349</v>
      </c>
      <c r="K130" s="143" t="s">
        <v>1515</v>
      </c>
      <c r="L130" s="143"/>
    </row>
    <row r="134" spans="1:19">
      <c r="A134" s="26" t="s">
        <v>1516</v>
      </c>
    </row>
    <row r="135" spans="1:19">
      <c r="A135" t="s">
        <v>1517</v>
      </c>
    </row>
    <row r="136" spans="1:19" ht="15" customHeight="1">
      <c r="A136" s="155" t="s">
        <v>873</v>
      </c>
      <c r="B136" s="155"/>
      <c r="C136" s="155"/>
      <c r="D136" s="155"/>
      <c r="E136" s="155"/>
      <c r="F136" s="155"/>
      <c r="G136" s="155"/>
      <c r="H136" s="155"/>
      <c r="I136" s="155"/>
      <c r="J136" s="155"/>
      <c r="K136" s="135" t="s">
        <v>872</v>
      </c>
      <c r="L136" s="135"/>
      <c r="M136" s="135"/>
    </row>
    <row r="137" spans="1:19">
      <c r="A137" s="143" t="b">
        <v>1</v>
      </c>
      <c r="B137" s="143"/>
      <c r="C137" s="143"/>
      <c r="D137" s="143"/>
      <c r="E137" s="143"/>
      <c r="F137" s="143"/>
      <c r="G137" s="143"/>
      <c r="H137" s="143"/>
      <c r="I137" s="143"/>
      <c r="J137" s="143"/>
      <c r="K137" s="143" t="s">
        <v>343</v>
      </c>
      <c r="L137" s="143"/>
      <c r="M137" s="143"/>
    </row>
    <row r="138" spans="1:19">
      <c r="A138" s="143" t="b">
        <v>1</v>
      </c>
      <c r="B138" s="143"/>
      <c r="C138" s="143"/>
      <c r="D138" s="143"/>
      <c r="E138" s="143"/>
      <c r="F138" s="143"/>
      <c r="G138" s="143"/>
      <c r="H138" s="143"/>
      <c r="I138" s="143"/>
      <c r="J138" s="143"/>
      <c r="K138" s="143" t="s">
        <v>1518</v>
      </c>
      <c r="L138" s="143"/>
      <c r="M138" s="143"/>
    </row>
    <row r="140" spans="1:19">
      <c r="A140" s="155" t="s">
        <v>1519</v>
      </c>
      <c r="B140" s="155"/>
      <c r="C140" s="155"/>
      <c r="D140" s="155"/>
      <c r="E140" s="155"/>
      <c r="F140" s="155"/>
      <c r="G140" s="155"/>
      <c r="H140" s="155"/>
      <c r="I140" s="155"/>
      <c r="J140" s="155"/>
      <c r="K140" s="155" t="s">
        <v>1520</v>
      </c>
      <c r="L140" s="155"/>
      <c r="M140" s="155"/>
      <c r="N140" s="155"/>
      <c r="O140" s="155"/>
      <c r="P140" s="155"/>
      <c r="Q140" s="155"/>
      <c r="R140" s="155"/>
      <c r="S140" s="155"/>
    </row>
    <row r="141" spans="1:19">
      <c r="A141" s="143" t="b">
        <v>1</v>
      </c>
      <c r="B141" s="143"/>
      <c r="C141" s="143"/>
      <c r="D141" s="143"/>
      <c r="E141" s="143"/>
      <c r="F141" s="143"/>
      <c r="G141" s="143"/>
      <c r="H141" s="143"/>
      <c r="I141" s="143"/>
      <c r="J141" s="143"/>
      <c r="K141" s="143" t="s">
        <v>1185</v>
      </c>
      <c r="L141" s="143"/>
      <c r="M141" s="143"/>
      <c r="N141" s="143"/>
      <c r="O141" s="143"/>
      <c r="P141" s="143"/>
      <c r="Q141" s="143"/>
      <c r="R141" s="143"/>
      <c r="S141" s="143"/>
    </row>
    <row r="142" spans="1:19">
      <c r="A142" s="143" t="b">
        <v>1</v>
      </c>
      <c r="B142" s="143"/>
      <c r="C142" s="143"/>
      <c r="D142" s="143"/>
      <c r="E142" s="143"/>
      <c r="F142" s="143"/>
      <c r="G142" s="143"/>
      <c r="H142" s="143"/>
      <c r="I142" s="143"/>
      <c r="J142" s="143"/>
      <c r="K142" s="143" t="s">
        <v>1185</v>
      </c>
      <c r="L142" s="143"/>
      <c r="M142" s="143"/>
      <c r="N142" s="143"/>
      <c r="O142" s="143"/>
      <c r="P142" s="143"/>
      <c r="Q142" s="143"/>
      <c r="R142" s="143"/>
      <c r="S142" s="143"/>
    </row>
    <row r="143" spans="1:19">
      <c r="A143" s="15"/>
      <c r="B143" s="15"/>
      <c r="C143" s="15"/>
      <c r="D143" s="15"/>
      <c r="E143" s="15"/>
      <c r="F143" s="15"/>
      <c r="G143" s="15"/>
      <c r="H143" s="15"/>
      <c r="I143" s="15"/>
      <c r="J143" s="15"/>
      <c r="K143" s="15"/>
      <c r="L143" s="15"/>
      <c r="M143" s="15"/>
      <c r="N143" s="15"/>
      <c r="O143" s="15"/>
      <c r="P143" s="15"/>
      <c r="Q143" s="15"/>
      <c r="R143" s="15"/>
      <c r="S143" s="15"/>
    </row>
    <row r="144" spans="1:19" ht="15.75" thickBot="1"/>
    <row r="145" spans="1:18" s="30" customFormat="1" ht="15.75" thickTop="1">
      <c r="A145" s="154" t="s">
        <v>663</v>
      </c>
      <c r="B145" s="154"/>
    </row>
    <row r="148" spans="1:18">
      <c r="A148" s="136" t="s">
        <v>1388</v>
      </c>
      <c r="B148" s="136"/>
      <c r="C148" s="136"/>
      <c r="D148" s="143" t="s">
        <v>1351</v>
      </c>
      <c r="E148" s="143"/>
      <c r="F148" s="135" t="s">
        <v>1</v>
      </c>
      <c r="G148" s="135"/>
      <c r="H148" s="135"/>
      <c r="I148" s="135"/>
    </row>
    <row r="149" spans="1:18">
      <c r="A149" s="143" t="s">
        <v>1419</v>
      </c>
      <c r="B149" s="143"/>
      <c r="C149" s="143"/>
      <c r="D149" s="143" t="s">
        <v>664</v>
      </c>
      <c r="E149" s="143"/>
      <c r="F149" s="143" t="s">
        <v>1420</v>
      </c>
      <c r="G149" s="143"/>
      <c r="H149" s="143"/>
      <c r="I149" s="143"/>
    </row>
    <row r="152" spans="1:18">
      <c r="A152" s="136" t="s">
        <v>1432</v>
      </c>
      <c r="B152" s="136"/>
      <c r="C152" s="136"/>
      <c r="D152" s="136"/>
      <c r="E152" s="136"/>
      <c r="F152" s="136"/>
      <c r="G152" s="143" t="s">
        <v>1351</v>
      </c>
      <c r="H152" s="143"/>
      <c r="I152" s="143" t="s">
        <v>1344</v>
      </c>
      <c r="J152" s="143"/>
      <c r="K152" s="136" t="s">
        <v>1432</v>
      </c>
      <c r="L152" s="136"/>
      <c r="M152" s="136"/>
      <c r="N152" s="17" t="s">
        <v>1345</v>
      </c>
      <c r="O152" s="136" t="s">
        <v>1433</v>
      </c>
      <c r="P152" s="136"/>
      <c r="Q152" s="136"/>
    </row>
    <row r="153" spans="1:18" ht="15" customHeight="1">
      <c r="A153" s="138" t="s">
        <v>1435</v>
      </c>
      <c r="B153" s="153"/>
      <c r="C153" s="153"/>
      <c r="D153" s="153"/>
      <c r="E153" s="153"/>
      <c r="F153" s="139"/>
      <c r="G153" s="138" t="s">
        <v>664</v>
      </c>
      <c r="H153" s="139"/>
      <c r="I153" s="138" t="s">
        <v>1361</v>
      </c>
      <c r="J153" s="139"/>
      <c r="K153" s="138" t="s">
        <v>975</v>
      </c>
      <c r="L153" s="153"/>
      <c r="M153" s="139"/>
      <c r="N153" s="17" t="s">
        <v>1436</v>
      </c>
      <c r="O153" s="138" t="s">
        <v>975</v>
      </c>
      <c r="P153" s="153"/>
      <c r="Q153" s="139"/>
    </row>
    <row r="157" spans="1:18">
      <c r="A157" s="136" t="s">
        <v>1521</v>
      </c>
      <c r="B157" s="136"/>
      <c r="C157" s="136"/>
      <c r="D157" s="136"/>
      <c r="E157" s="136"/>
      <c r="F157" s="136"/>
      <c r="G157" s="143" t="s">
        <v>1351</v>
      </c>
      <c r="H157" s="143"/>
      <c r="I157" s="143" t="s">
        <v>1344</v>
      </c>
      <c r="J157" s="143"/>
      <c r="K157" s="136" t="s">
        <v>1522</v>
      </c>
      <c r="L157" s="136"/>
      <c r="M157" s="17" t="s">
        <v>1345</v>
      </c>
      <c r="N157" s="136" t="s">
        <v>1521</v>
      </c>
      <c r="O157" s="136"/>
      <c r="P157" s="17" t="s">
        <v>1345</v>
      </c>
      <c r="Q157" s="143" t="s">
        <v>1346</v>
      </c>
      <c r="R157" s="143"/>
    </row>
    <row r="158" spans="1:18">
      <c r="A158" s="145" t="s">
        <v>1435</v>
      </c>
      <c r="B158" s="145"/>
      <c r="C158" s="145"/>
      <c r="D158" s="145"/>
      <c r="E158" s="145"/>
      <c r="F158" s="145"/>
      <c r="G158" s="143" t="s">
        <v>1357</v>
      </c>
      <c r="H158" s="143"/>
      <c r="I158" s="143" t="s">
        <v>928</v>
      </c>
      <c r="J158" s="143"/>
      <c r="K158" s="143" t="s">
        <v>975</v>
      </c>
      <c r="L158" s="143"/>
      <c r="M158" s="17" t="s">
        <v>1348</v>
      </c>
      <c r="N158" s="143" t="s">
        <v>975</v>
      </c>
      <c r="O158" s="143"/>
      <c r="P158" s="17" t="s">
        <v>1354</v>
      </c>
      <c r="Q158" s="143" t="s">
        <v>1523</v>
      </c>
      <c r="R158" s="143"/>
    </row>
    <row r="160" spans="1:18">
      <c r="A160" s="136" t="s">
        <v>1524</v>
      </c>
      <c r="B160" s="136"/>
      <c r="C160" s="136"/>
      <c r="D160" s="136"/>
      <c r="E160" s="136"/>
      <c r="F160" s="136"/>
      <c r="G160" s="143" t="s">
        <v>1351</v>
      </c>
      <c r="H160" s="143"/>
      <c r="I160" s="143" t="s">
        <v>1344</v>
      </c>
      <c r="J160" s="143"/>
      <c r="K160" s="136" t="s">
        <v>1525</v>
      </c>
      <c r="L160" s="136"/>
      <c r="M160" s="17" t="s">
        <v>1345</v>
      </c>
      <c r="N160" s="143" t="s">
        <v>1346</v>
      </c>
      <c r="O160" s="143"/>
    </row>
    <row r="161" spans="1:27">
      <c r="A161" s="145" t="s">
        <v>1526</v>
      </c>
      <c r="B161" s="145"/>
      <c r="C161" s="145"/>
      <c r="D161" s="145"/>
      <c r="E161" s="145"/>
      <c r="F161" s="145"/>
      <c r="G161" s="143" t="s">
        <v>1357</v>
      </c>
      <c r="H161" s="143"/>
      <c r="I161" s="143" t="s">
        <v>1361</v>
      </c>
      <c r="J161" s="143"/>
      <c r="K161" s="143" t="s">
        <v>975</v>
      </c>
      <c r="L161" s="143"/>
      <c r="M161" s="17" t="s">
        <v>1375</v>
      </c>
      <c r="N161" s="143" t="s">
        <v>1527</v>
      </c>
      <c r="O161" s="143"/>
    </row>
    <row r="162" spans="1:27">
      <c r="M162" s="15"/>
    </row>
    <row r="163" spans="1:27">
      <c r="A163" s="136" t="s">
        <v>1399</v>
      </c>
      <c r="B163" s="136"/>
      <c r="C163" s="136"/>
      <c r="D163" s="136"/>
      <c r="E163" s="136"/>
      <c r="F163" s="136"/>
      <c r="G163" s="143" t="s">
        <v>1344</v>
      </c>
      <c r="H163" s="143"/>
      <c r="I163" s="141" t="s">
        <v>1399</v>
      </c>
      <c r="J163" s="142"/>
      <c r="K163" s="138" t="s">
        <v>1345</v>
      </c>
      <c r="L163" s="139"/>
      <c r="M163" s="15"/>
      <c r="Q163" s="47"/>
      <c r="R163" s="47"/>
      <c r="S163" s="47"/>
      <c r="T163" s="47"/>
    </row>
    <row r="164" spans="1:27">
      <c r="A164" s="145" t="s">
        <v>975</v>
      </c>
      <c r="B164" s="145"/>
      <c r="C164" s="145"/>
      <c r="D164" s="145"/>
      <c r="E164" s="145"/>
      <c r="F164" s="145"/>
      <c r="G164" s="143" t="s">
        <v>928</v>
      </c>
      <c r="H164" s="143"/>
      <c r="I164" s="138" t="s">
        <v>975</v>
      </c>
      <c r="J164" s="139"/>
      <c r="K164" s="137" t="s">
        <v>1528</v>
      </c>
      <c r="L164" s="137"/>
      <c r="M164" s="15"/>
    </row>
    <row r="165" spans="1:27">
      <c r="I165" s="140"/>
      <c r="J165" s="140"/>
      <c r="K165" s="140"/>
      <c r="L165" s="140"/>
    </row>
    <row r="167" spans="1:27">
      <c r="A167" s="151" t="s">
        <v>1344</v>
      </c>
      <c r="B167" s="151"/>
      <c r="C167" s="151" t="s">
        <v>1529</v>
      </c>
      <c r="D167" s="151"/>
      <c r="E167" s="151"/>
      <c r="F167" s="151"/>
      <c r="G167" s="151"/>
      <c r="H167" s="151"/>
      <c r="I167" s="151"/>
      <c r="J167" s="151"/>
      <c r="K167" s="151"/>
      <c r="L167" s="151"/>
    </row>
    <row r="168" spans="1:27">
      <c r="A168" s="151"/>
      <c r="B168" s="151"/>
      <c r="C168" s="19" t="s">
        <v>1354</v>
      </c>
      <c r="D168" s="19" t="s">
        <v>1349</v>
      </c>
      <c r="E168" s="19" t="s">
        <v>1375</v>
      </c>
      <c r="F168" s="19" t="s">
        <v>1362</v>
      </c>
      <c r="G168" s="19" t="s">
        <v>1350</v>
      </c>
      <c r="H168" s="19" t="s">
        <v>1530</v>
      </c>
      <c r="I168" s="19" t="s">
        <v>1531</v>
      </c>
      <c r="J168" s="19" t="s">
        <v>1532</v>
      </c>
      <c r="K168" s="19" t="s">
        <v>1533</v>
      </c>
      <c r="L168" s="19" t="s">
        <v>1348</v>
      </c>
    </row>
    <row r="169" spans="1:27">
      <c r="A169" s="143" t="s">
        <v>1361</v>
      </c>
      <c r="B169" s="143"/>
      <c r="C169" s="34"/>
      <c r="D169" s="34"/>
      <c r="E169" s="49" t="s">
        <v>1534</v>
      </c>
      <c r="F169" s="17" t="s">
        <v>1534</v>
      </c>
      <c r="G169" s="34"/>
      <c r="H169" s="34"/>
      <c r="I169" s="34"/>
      <c r="J169" s="34"/>
      <c r="K169" s="34"/>
      <c r="L169" s="34"/>
    </row>
    <row r="170" spans="1:27">
      <c r="A170" s="143" t="s">
        <v>1482</v>
      </c>
      <c r="B170" s="143"/>
      <c r="C170" s="17" t="s">
        <v>1534</v>
      </c>
      <c r="D170" s="17" t="s">
        <v>1534</v>
      </c>
      <c r="E170" s="17" t="s">
        <v>1534</v>
      </c>
      <c r="F170" s="17" t="s">
        <v>1534</v>
      </c>
      <c r="G170" s="17" t="s">
        <v>1534</v>
      </c>
      <c r="H170" s="17" t="s">
        <v>1534</v>
      </c>
      <c r="I170" s="17" t="s">
        <v>1534</v>
      </c>
      <c r="J170" s="17" t="s">
        <v>1534</v>
      </c>
      <c r="K170" s="17" t="s">
        <v>1534</v>
      </c>
      <c r="L170" s="17" t="s">
        <v>1534</v>
      </c>
      <c r="O170" s="146" t="s">
        <v>1524</v>
      </c>
      <c r="P170" s="152"/>
      <c r="Q170" s="152"/>
      <c r="R170" s="152"/>
      <c r="S170" s="152"/>
      <c r="T170" s="147"/>
      <c r="U170" s="138" t="s">
        <v>1344</v>
      </c>
      <c r="V170" s="139"/>
      <c r="W170" s="146" t="s">
        <v>1524</v>
      </c>
      <c r="X170" s="147"/>
      <c r="Y170" s="17" t="s">
        <v>1345</v>
      </c>
      <c r="Z170" s="138" t="s">
        <v>1346</v>
      </c>
      <c r="AA170" s="139"/>
    </row>
    <row r="171" spans="1:27" ht="15" customHeight="1">
      <c r="A171" s="143" t="s">
        <v>928</v>
      </c>
      <c r="B171" s="143"/>
      <c r="C171" s="17" t="s">
        <v>1534</v>
      </c>
      <c r="D171" s="17" t="s">
        <v>1534</v>
      </c>
      <c r="E171" s="17" t="s">
        <v>1534</v>
      </c>
      <c r="F171" s="17" t="s">
        <v>1534</v>
      </c>
      <c r="G171" s="17" t="s">
        <v>1534</v>
      </c>
      <c r="H171" s="17" t="s">
        <v>1534</v>
      </c>
      <c r="I171" s="34"/>
      <c r="J171" s="34"/>
      <c r="K171" s="17" t="s">
        <v>1534</v>
      </c>
      <c r="L171" s="17" t="s">
        <v>1534</v>
      </c>
      <c r="O171" s="148" t="s">
        <v>1535</v>
      </c>
      <c r="P171" s="149"/>
      <c r="Q171" s="149"/>
      <c r="R171" s="149"/>
      <c r="S171" s="149"/>
      <c r="T171" s="150"/>
      <c r="U171" s="138" t="s">
        <v>1361</v>
      </c>
      <c r="V171" s="139"/>
      <c r="W171" s="138" t="s">
        <v>975</v>
      </c>
      <c r="X171" s="139"/>
      <c r="Y171" s="17" t="s">
        <v>1375</v>
      </c>
      <c r="Z171" s="138">
        <v>25</v>
      </c>
      <c r="AA171" s="139"/>
    </row>
    <row r="172" spans="1:27">
      <c r="A172" s="144" t="s">
        <v>1373</v>
      </c>
      <c r="B172" s="144"/>
      <c r="C172" s="17" t="s">
        <v>1534</v>
      </c>
      <c r="D172" s="17" t="s">
        <v>1534</v>
      </c>
      <c r="E172" s="17" t="s">
        <v>1534</v>
      </c>
      <c r="F172" s="17" t="s">
        <v>1534</v>
      </c>
      <c r="G172" s="17" t="s">
        <v>1534</v>
      </c>
      <c r="H172" s="17" t="s">
        <v>1534</v>
      </c>
      <c r="I172" s="34"/>
      <c r="J172" s="34"/>
      <c r="K172" s="34"/>
      <c r="L172" s="34"/>
      <c r="O172" s="47" t="s">
        <v>1536</v>
      </c>
    </row>
    <row r="173" spans="1:27">
      <c r="A173" s="143" t="s">
        <v>1352</v>
      </c>
      <c r="B173" s="143"/>
      <c r="C173" s="17" t="s">
        <v>1534</v>
      </c>
      <c r="D173" s="17" t="s">
        <v>1534</v>
      </c>
      <c r="E173" s="17" t="s">
        <v>1534</v>
      </c>
      <c r="F173" s="17" t="s">
        <v>1534</v>
      </c>
      <c r="G173" s="17" t="s">
        <v>1534</v>
      </c>
      <c r="H173" s="17" t="s">
        <v>1534</v>
      </c>
      <c r="I173" s="34"/>
      <c r="J173" s="34"/>
      <c r="K173" s="17" t="s">
        <v>1534</v>
      </c>
      <c r="L173" s="17" t="s">
        <v>1534</v>
      </c>
    </row>
    <row r="174" spans="1:27">
      <c r="A174" s="143" t="s">
        <v>1537</v>
      </c>
      <c r="B174" s="143"/>
      <c r="C174" s="17" t="s">
        <v>1534</v>
      </c>
      <c r="D174" s="17" t="s">
        <v>1534</v>
      </c>
      <c r="E174" s="17" t="s">
        <v>1534</v>
      </c>
      <c r="F174" s="17" t="s">
        <v>1534</v>
      </c>
      <c r="G174" s="17" t="s">
        <v>1534</v>
      </c>
      <c r="H174" s="17" t="s">
        <v>1534</v>
      </c>
      <c r="I174" s="34"/>
      <c r="J174" s="34"/>
      <c r="K174" s="17" t="s">
        <v>1534</v>
      </c>
      <c r="L174" s="17" t="s">
        <v>1534</v>
      </c>
    </row>
    <row r="175" spans="1:27">
      <c r="A175" s="143" t="s">
        <v>1347</v>
      </c>
      <c r="B175" s="143"/>
      <c r="C175" s="17" t="s">
        <v>1534</v>
      </c>
      <c r="D175" s="17" t="s">
        <v>1534</v>
      </c>
      <c r="E175" s="17" t="s">
        <v>1534</v>
      </c>
      <c r="F175" s="17" t="s">
        <v>1534</v>
      </c>
      <c r="G175" s="17" t="s">
        <v>1534</v>
      </c>
      <c r="H175" s="17" t="s">
        <v>1534</v>
      </c>
      <c r="I175" s="34"/>
      <c r="J175" s="34"/>
      <c r="K175" s="17" t="s">
        <v>1534</v>
      </c>
      <c r="L175" s="17" t="s">
        <v>1534</v>
      </c>
    </row>
  </sheetData>
  <mergeCells count="199">
    <mergeCell ref="A2:B2"/>
    <mergeCell ref="A3:E3"/>
    <mergeCell ref="A4:E4"/>
    <mergeCell ref="A5:E5"/>
    <mergeCell ref="A6:L6"/>
    <mergeCell ref="A7:E7"/>
    <mergeCell ref="A44:B44"/>
    <mergeCell ref="C44:D44"/>
    <mergeCell ref="A45:B45"/>
    <mergeCell ref="C45:D45"/>
    <mergeCell ref="A48:C48"/>
    <mergeCell ref="D48:F48"/>
    <mergeCell ref="A8:E8"/>
    <mergeCell ref="A9:E9"/>
    <mergeCell ref="A11:B11"/>
    <mergeCell ref="A12:D12"/>
    <mergeCell ref="A13:D13"/>
    <mergeCell ref="A14:D14"/>
    <mergeCell ref="A54:B54"/>
    <mergeCell ref="C54:D54"/>
    <mergeCell ref="A55:B55"/>
    <mergeCell ref="C55:D55"/>
    <mergeCell ref="A57:B57"/>
    <mergeCell ref="A61:C61"/>
    <mergeCell ref="D61:F61"/>
    <mergeCell ref="A49:C49"/>
    <mergeCell ref="D49:F49"/>
    <mergeCell ref="A50:C50"/>
    <mergeCell ref="D50:F50"/>
    <mergeCell ref="A51:C51"/>
    <mergeCell ref="D51:F51"/>
    <mergeCell ref="A66:C66"/>
    <mergeCell ref="D66:F66"/>
    <mergeCell ref="A69:C69"/>
    <mergeCell ref="D69:F69"/>
    <mergeCell ref="G69:I69"/>
    <mergeCell ref="A70:C70"/>
    <mergeCell ref="D70:F70"/>
    <mergeCell ref="G70:I70"/>
    <mergeCell ref="G61:J61"/>
    <mergeCell ref="A62:C62"/>
    <mergeCell ref="D62:F62"/>
    <mergeCell ref="G62:J62"/>
    <mergeCell ref="A65:C65"/>
    <mergeCell ref="D65:F65"/>
    <mergeCell ref="A75:C75"/>
    <mergeCell ref="D75:F75"/>
    <mergeCell ref="G75:J75"/>
    <mergeCell ref="A76:C76"/>
    <mergeCell ref="D76:F76"/>
    <mergeCell ref="G76:J76"/>
    <mergeCell ref="A71:C71"/>
    <mergeCell ref="D71:F71"/>
    <mergeCell ref="G71:I71"/>
    <mergeCell ref="A74:C74"/>
    <mergeCell ref="D74:F74"/>
    <mergeCell ref="G74:J74"/>
    <mergeCell ref="B83:F83"/>
    <mergeCell ref="G83:I83"/>
    <mergeCell ref="J83:L83"/>
    <mergeCell ref="A85:B85"/>
    <mergeCell ref="A96:B96"/>
    <mergeCell ref="A97:B97"/>
    <mergeCell ref="A77:C77"/>
    <mergeCell ref="D77:F77"/>
    <mergeCell ref="G77:J77"/>
    <mergeCell ref="A79:B79"/>
    <mergeCell ref="B82:F82"/>
    <mergeCell ref="G82:I82"/>
    <mergeCell ref="J82:L82"/>
    <mergeCell ref="A103:C103"/>
    <mergeCell ref="D103:F103"/>
    <mergeCell ref="A106:C106"/>
    <mergeCell ref="D106:J106"/>
    <mergeCell ref="K106:M106"/>
    <mergeCell ref="A107:C107"/>
    <mergeCell ref="D107:J107"/>
    <mergeCell ref="K107:M107"/>
    <mergeCell ref="A100:C100"/>
    <mergeCell ref="D100:F100"/>
    <mergeCell ref="A101:C101"/>
    <mergeCell ref="D101:F101"/>
    <mergeCell ref="A102:C102"/>
    <mergeCell ref="D102:F102"/>
    <mergeCell ref="A112:C112"/>
    <mergeCell ref="D112:F112"/>
    <mergeCell ref="A113:C113"/>
    <mergeCell ref="D113:F113"/>
    <mergeCell ref="A114:C114"/>
    <mergeCell ref="D114:F114"/>
    <mergeCell ref="A108:C108"/>
    <mergeCell ref="D108:J108"/>
    <mergeCell ref="K108:M108"/>
    <mergeCell ref="A109:C109"/>
    <mergeCell ref="D109:J109"/>
    <mergeCell ref="K109:M109"/>
    <mergeCell ref="A118:C118"/>
    <mergeCell ref="D118:F118"/>
    <mergeCell ref="A119:C119"/>
    <mergeCell ref="D119:F119"/>
    <mergeCell ref="B122:C122"/>
    <mergeCell ref="B123:C123"/>
    <mergeCell ref="A115:C115"/>
    <mergeCell ref="D115:F115"/>
    <mergeCell ref="A116:C116"/>
    <mergeCell ref="D116:F116"/>
    <mergeCell ref="A117:C117"/>
    <mergeCell ref="D117:F117"/>
    <mergeCell ref="A130:B130"/>
    <mergeCell ref="C130:D130"/>
    <mergeCell ref="E130:G130"/>
    <mergeCell ref="K130:L130"/>
    <mergeCell ref="A136:J136"/>
    <mergeCell ref="K136:M136"/>
    <mergeCell ref="B124:C124"/>
    <mergeCell ref="A128:B128"/>
    <mergeCell ref="C128:D128"/>
    <mergeCell ref="E128:G128"/>
    <mergeCell ref="K128:L128"/>
    <mergeCell ref="A129:B129"/>
    <mergeCell ref="C129:D129"/>
    <mergeCell ref="E129:G129"/>
    <mergeCell ref="K129:L129"/>
    <mergeCell ref="A141:J141"/>
    <mergeCell ref="K141:S141"/>
    <mergeCell ref="A142:J142"/>
    <mergeCell ref="K142:S142"/>
    <mergeCell ref="A145:B145"/>
    <mergeCell ref="A148:C148"/>
    <mergeCell ref="D148:E148"/>
    <mergeCell ref="F148:I148"/>
    <mergeCell ref="A137:J137"/>
    <mergeCell ref="K137:M137"/>
    <mergeCell ref="A138:J138"/>
    <mergeCell ref="K138:M138"/>
    <mergeCell ref="A140:J140"/>
    <mergeCell ref="K140:S140"/>
    <mergeCell ref="K152:M152"/>
    <mergeCell ref="O152:Q152"/>
    <mergeCell ref="A153:F153"/>
    <mergeCell ref="G153:H153"/>
    <mergeCell ref="I153:J153"/>
    <mergeCell ref="K153:M153"/>
    <mergeCell ref="O153:Q153"/>
    <mergeCell ref="A149:C149"/>
    <mergeCell ref="D149:E149"/>
    <mergeCell ref="F149:I149"/>
    <mergeCell ref="A152:F152"/>
    <mergeCell ref="G152:H152"/>
    <mergeCell ref="I152:J152"/>
    <mergeCell ref="A158:F158"/>
    <mergeCell ref="G158:H158"/>
    <mergeCell ref="I158:J158"/>
    <mergeCell ref="K158:L158"/>
    <mergeCell ref="N158:O158"/>
    <mergeCell ref="Q158:R158"/>
    <mergeCell ref="A157:F157"/>
    <mergeCell ref="G157:H157"/>
    <mergeCell ref="I157:J157"/>
    <mergeCell ref="K157:L157"/>
    <mergeCell ref="N157:O157"/>
    <mergeCell ref="Q157:R157"/>
    <mergeCell ref="A160:F160"/>
    <mergeCell ref="G160:H160"/>
    <mergeCell ref="I160:J160"/>
    <mergeCell ref="K160:L160"/>
    <mergeCell ref="N160:O160"/>
    <mergeCell ref="A161:F161"/>
    <mergeCell ref="G161:H161"/>
    <mergeCell ref="I161:J161"/>
    <mergeCell ref="K161:L161"/>
    <mergeCell ref="N161:O161"/>
    <mergeCell ref="W170:X170"/>
    <mergeCell ref="Z170:AA170"/>
    <mergeCell ref="A171:B171"/>
    <mergeCell ref="O171:T171"/>
    <mergeCell ref="U171:V171"/>
    <mergeCell ref="W171:X171"/>
    <mergeCell ref="Z171:AA171"/>
    <mergeCell ref="A167:B168"/>
    <mergeCell ref="C167:L167"/>
    <mergeCell ref="A169:B169"/>
    <mergeCell ref="A170:B170"/>
    <mergeCell ref="O170:T170"/>
    <mergeCell ref="U170:V170"/>
    <mergeCell ref="K164:L164"/>
    <mergeCell ref="K163:L163"/>
    <mergeCell ref="I165:J165"/>
    <mergeCell ref="I163:J163"/>
    <mergeCell ref="I164:J164"/>
    <mergeCell ref="K165:L165"/>
    <mergeCell ref="A173:B173"/>
    <mergeCell ref="A174:B174"/>
    <mergeCell ref="A175:B175"/>
    <mergeCell ref="A172:B172"/>
    <mergeCell ref="A163:F163"/>
    <mergeCell ref="G163:H163"/>
    <mergeCell ref="A164:F164"/>
    <mergeCell ref="G164:H164"/>
  </mergeCells>
  <phoneticPr fontId="19" type="noConversion"/>
  <conditionalFormatting sqref="A137:A138">
    <cfRule type="cellIs" dxfId="5" priority="3" operator="equal">
      <formula>"N/A"</formula>
    </cfRule>
  </conditionalFormatting>
  <conditionalFormatting sqref="A141:A143">
    <cfRule type="cellIs" dxfId="4" priority="2" operator="equal">
      <formula>"N/A"</formula>
    </cfRule>
  </conditionalFormatting>
  <conditionalFormatting sqref="B24:B29">
    <cfRule type="expression" dxfId="3" priority="4">
      <formula>B24="!!!Same IFN Already Exist!!!"</formula>
    </cfRule>
  </conditionalFormatting>
  <conditionalFormatting sqref="K141:K143">
    <cfRule type="cellIs" dxfId="2" priority="1" operator="equal">
      <formula>"N/A"</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H1032220"/>
  <sheetViews>
    <sheetView workbookViewId="0">
      <selection activeCell="A35" sqref="A35"/>
    </sheetView>
  </sheetViews>
  <sheetFormatPr defaultRowHeight="15"/>
  <cols>
    <col min="1" max="1" width="27.42578125" style="35" customWidth="1"/>
    <col min="2" max="2" width="58" style="35" bestFit="1" customWidth="1"/>
    <col min="3" max="3" width="55.28515625" bestFit="1" customWidth="1"/>
    <col min="4" max="4" width="11.85546875" bestFit="1" customWidth="1"/>
    <col min="5" max="5" width="24.42578125" customWidth="1"/>
    <col min="6" max="6" width="18.5703125" style="55" customWidth="1"/>
    <col min="7" max="7" width="21.7109375" customWidth="1"/>
    <col min="8" max="8" width="47.7109375" customWidth="1"/>
    <col min="9" max="9" width="31.7109375" customWidth="1"/>
  </cols>
  <sheetData>
    <row r="1" spans="1:8">
      <c r="A1" s="56"/>
      <c r="B1" s="35" t="s">
        <v>1538</v>
      </c>
    </row>
    <row r="2" spans="1:8">
      <c r="A2" s="57"/>
      <c r="B2" s="35" t="s">
        <v>1539</v>
      </c>
    </row>
    <row r="3" spans="1:8">
      <c r="A3" s="58"/>
      <c r="B3" s="35" t="s">
        <v>1540</v>
      </c>
    </row>
    <row r="4" spans="1:8">
      <c r="A4" s="59" t="s">
        <v>1541</v>
      </c>
      <c r="B4" s="35" t="s">
        <v>1542</v>
      </c>
    </row>
    <row r="6" spans="1:8" ht="45">
      <c r="A6" s="60" t="s">
        <v>1543</v>
      </c>
      <c r="B6" s="61" t="s">
        <v>1544</v>
      </c>
      <c r="C6" s="61" t="s">
        <v>1545</v>
      </c>
      <c r="D6" s="61" t="s">
        <v>1546</v>
      </c>
      <c r="E6" s="62" t="s">
        <v>1547</v>
      </c>
      <c r="F6" s="61" t="s">
        <v>1548</v>
      </c>
      <c r="G6" s="61" t="s">
        <v>1549</v>
      </c>
      <c r="H6" s="61" t="s">
        <v>1550</v>
      </c>
    </row>
    <row r="7" spans="1:8">
      <c r="A7" s="58" t="s">
        <v>1551</v>
      </c>
      <c r="B7" s="52" t="s">
        <v>1552</v>
      </c>
      <c r="C7" s="52" t="s">
        <v>681</v>
      </c>
      <c r="D7" s="52"/>
      <c r="E7" s="18"/>
      <c r="F7" s="52" t="s">
        <v>1553</v>
      </c>
      <c r="G7" s="52" t="s">
        <v>681</v>
      </c>
      <c r="H7" s="52"/>
    </row>
    <row r="8" spans="1:8" ht="30">
      <c r="A8" s="56" t="s">
        <v>648</v>
      </c>
      <c r="B8" s="52" t="s">
        <v>1554</v>
      </c>
      <c r="C8" s="52" t="s">
        <v>681</v>
      </c>
      <c r="D8" s="52"/>
      <c r="E8" s="18" t="s">
        <v>681</v>
      </c>
      <c r="F8" s="52" t="s">
        <v>1553</v>
      </c>
      <c r="G8" s="52" t="s">
        <v>443</v>
      </c>
      <c r="H8" s="52" t="s">
        <v>1555</v>
      </c>
    </row>
    <row r="9" spans="1:8">
      <c r="A9" s="58" t="s">
        <v>665</v>
      </c>
      <c r="B9" s="52" t="s">
        <v>1556</v>
      </c>
      <c r="C9" s="52" t="s">
        <v>681</v>
      </c>
      <c r="D9" s="52"/>
      <c r="E9" s="18"/>
      <c r="F9" s="52" t="s">
        <v>1557</v>
      </c>
      <c r="G9" s="52" t="s">
        <v>681</v>
      </c>
      <c r="H9" s="52"/>
    </row>
    <row r="10" spans="1:8" ht="60">
      <c r="A10" s="58" t="s">
        <v>650</v>
      </c>
      <c r="B10" s="52" t="s">
        <v>1558</v>
      </c>
      <c r="C10" s="52" t="s">
        <v>681</v>
      </c>
      <c r="D10" s="52"/>
      <c r="E10" s="18"/>
      <c r="F10" s="52" t="s">
        <v>1553</v>
      </c>
      <c r="G10" s="52" t="s">
        <v>443</v>
      </c>
      <c r="H10" s="52" t="s">
        <v>1559</v>
      </c>
    </row>
    <row r="11" spans="1:8" ht="30">
      <c r="A11" s="59" t="s">
        <v>1560</v>
      </c>
      <c r="B11" s="52" t="s">
        <v>1561</v>
      </c>
      <c r="C11" s="52" t="s">
        <v>681</v>
      </c>
      <c r="D11" s="52" t="s">
        <v>681</v>
      </c>
      <c r="E11" s="18" t="s">
        <v>681</v>
      </c>
      <c r="F11" s="52" t="s">
        <v>1553</v>
      </c>
      <c r="G11" s="52" t="s">
        <v>443</v>
      </c>
      <c r="H11" s="52" t="s">
        <v>1562</v>
      </c>
    </row>
    <row r="12" spans="1:8" ht="45">
      <c r="A12" s="57" t="s">
        <v>666</v>
      </c>
      <c r="B12" s="52" t="s">
        <v>1563</v>
      </c>
      <c r="C12" s="52" t="s">
        <v>681</v>
      </c>
      <c r="D12" s="52" t="s">
        <v>681</v>
      </c>
      <c r="E12" s="18"/>
      <c r="F12" s="52"/>
      <c r="G12" s="52"/>
      <c r="H12" s="52"/>
    </row>
    <row r="13" spans="1:8" ht="45">
      <c r="A13" s="59" t="s">
        <v>667</v>
      </c>
      <c r="B13" s="52" t="s">
        <v>1564</v>
      </c>
      <c r="C13" s="52" t="s">
        <v>681</v>
      </c>
      <c r="D13" s="52" t="s">
        <v>681</v>
      </c>
      <c r="E13" s="18"/>
      <c r="F13" s="52" t="s">
        <v>1553</v>
      </c>
      <c r="G13" s="52" t="s">
        <v>681</v>
      </c>
      <c r="H13" s="52"/>
    </row>
    <row r="14" spans="1:8" ht="30">
      <c r="A14" s="57" t="s">
        <v>670</v>
      </c>
      <c r="B14" s="52" t="s">
        <v>1565</v>
      </c>
      <c r="C14" s="52" t="s">
        <v>681</v>
      </c>
      <c r="D14" s="52"/>
      <c r="E14" s="18"/>
      <c r="F14" s="52" t="s">
        <v>1553</v>
      </c>
      <c r="G14" s="52" t="s">
        <v>681</v>
      </c>
      <c r="H14" s="52"/>
    </row>
    <row r="15" spans="1:8" ht="30">
      <c r="A15" s="57" t="s">
        <v>671</v>
      </c>
      <c r="B15" s="52" t="s">
        <v>1566</v>
      </c>
      <c r="C15" s="52" t="s">
        <v>681</v>
      </c>
      <c r="D15" s="52"/>
      <c r="E15" s="18"/>
      <c r="F15" s="52" t="s">
        <v>1553</v>
      </c>
      <c r="G15" s="52" t="s">
        <v>681</v>
      </c>
      <c r="H15" s="52"/>
    </row>
    <row r="16" spans="1:8">
      <c r="A16" s="57" t="s">
        <v>1480</v>
      </c>
      <c r="B16" s="52" t="s">
        <v>1567</v>
      </c>
      <c r="C16" s="52"/>
      <c r="D16" s="52" t="s">
        <v>681</v>
      </c>
      <c r="E16" s="18"/>
      <c r="F16" s="52" t="s">
        <v>1553</v>
      </c>
      <c r="G16" s="52" t="s">
        <v>681</v>
      </c>
      <c r="H16" s="52"/>
    </row>
    <row r="17" spans="1:8">
      <c r="A17" s="57" t="s">
        <v>653</v>
      </c>
      <c r="B17" s="52" t="s">
        <v>1568</v>
      </c>
      <c r="C17" s="52"/>
      <c r="D17" s="52" t="s">
        <v>681</v>
      </c>
      <c r="E17" s="18"/>
      <c r="F17" s="52" t="s">
        <v>1553</v>
      </c>
      <c r="G17" s="52" t="s">
        <v>681</v>
      </c>
      <c r="H17" s="52"/>
    </row>
    <row r="18" spans="1:8">
      <c r="A18" s="56" t="s">
        <v>649</v>
      </c>
      <c r="B18" s="52" t="s">
        <v>1554</v>
      </c>
      <c r="C18" s="52"/>
      <c r="D18" s="52" t="s">
        <v>681</v>
      </c>
      <c r="E18" s="18" t="s">
        <v>681</v>
      </c>
      <c r="F18" s="52" t="s">
        <v>1569</v>
      </c>
      <c r="G18" s="52" t="s">
        <v>681</v>
      </c>
      <c r="H18" s="52"/>
    </row>
    <row r="19" spans="1:8">
      <c r="A19" s="56" t="s">
        <v>672</v>
      </c>
      <c r="B19" s="52" t="s">
        <v>1570</v>
      </c>
      <c r="C19" s="52"/>
      <c r="D19" s="52" t="s">
        <v>681</v>
      </c>
      <c r="E19" s="18"/>
      <c r="F19" s="52" t="s">
        <v>1569</v>
      </c>
      <c r="G19" s="52" t="s">
        <v>681</v>
      </c>
      <c r="H19" s="52"/>
    </row>
    <row r="20" spans="1:8">
      <c r="A20" s="56" t="s">
        <v>668</v>
      </c>
      <c r="B20" s="52" t="s">
        <v>1571</v>
      </c>
      <c r="C20" s="52" t="s">
        <v>681</v>
      </c>
      <c r="D20" s="52" t="s">
        <v>681</v>
      </c>
      <c r="E20" s="18"/>
      <c r="F20" s="52" t="s">
        <v>1553</v>
      </c>
      <c r="G20" s="52" t="s">
        <v>681</v>
      </c>
      <c r="H20" s="52"/>
    </row>
    <row r="21" spans="1:8">
      <c r="A21" s="56" t="s">
        <v>669</v>
      </c>
      <c r="B21" s="52" t="s">
        <v>1572</v>
      </c>
      <c r="C21" s="52"/>
      <c r="D21" s="52" t="s">
        <v>681</v>
      </c>
      <c r="E21" s="18"/>
      <c r="F21" s="52" t="s">
        <v>1553</v>
      </c>
      <c r="G21" s="52" t="s">
        <v>681</v>
      </c>
      <c r="H21" s="52"/>
    </row>
    <row r="22" spans="1:8" ht="30">
      <c r="A22" s="56" t="s">
        <v>673</v>
      </c>
      <c r="B22" s="52" t="s">
        <v>1573</v>
      </c>
      <c r="C22" s="52"/>
      <c r="D22" s="52" t="s">
        <v>681</v>
      </c>
      <c r="E22" s="18"/>
      <c r="F22" s="52" t="s">
        <v>1553</v>
      </c>
      <c r="G22" s="52" t="s">
        <v>681</v>
      </c>
      <c r="H22" s="52"/>
    </row>
    <row r="23" spans="1:8">
      <c r="A23" s="56" t="s">
        <v>674</v>
      </c>
      <c r="B23" s="52" t="s">
        <v>1574</v>
      </c>
      <c r="C23" s="52"/>
      <c r="D23" s="52"/>
      <c r="E23" s="18"/>
      <c r="F23" s="52"/>
      <c r="G23" s="52"/>
      <c r="H23" s="52"/>
    </row>
    <row r="24" spans="1:8" ht="30">
      <c r="A24" s="56" t="s">
        <v>675</v>
      </c>
      <c r="B24" s="52" t="s">
        <v>1575</v>
      </c>
      <c r="C24" s="52"/>
      <c r="D24" s="52"/>
      <c r="E24" s="18"/>
      <c r="F24" s="52"/>
      <c r="G24" s="52"/>
      <c r="H24" s="52"/>
    </row>
    <row r="25" spans="1:8" ht="30">
      <c r="A25" s="56" t="s">
        <v>676</v>
      </c>
      <c r="B25" s="52" t="s">
        <v>1576</v>
      </c>
      <c r="C25" s="52"/>
      <c r="D25" s="52"/>
      <c r="E25" s="18"/>
      <c r="F25" s="52"/>
      <c r="G25" s="52"/>
      <c r="H25" s="52"/>
    </row>
    <row r="26" spans="1:8">
      <c r="A26" s="56" t="s">
        <v>677</v>
      </c>
      <c r="B26" s="52" t="s">
        <v>1577</v>
      </c>
      <c r="C26" s="52"/>
      <c r="D26" s="52" t="s">
        <v>681</v>
      </c>
      <c r="E26" s="18"/>
      <c r="F26" s="52" t="s">
        <v>1553</v>
      </c>
      <c r="G26" s="52" t="s">
        <v>681</v>
      </c>
      <c r="H26" s="52"/>
    </row>
    <row r="27" spans="1:8">
      <c r="A27" s="63" t="s">
        <v>678</v>
      </c>
      <c r="B27" s="52" t="s">
        <v>1578</v>
      </c>
      <c r="C27" s="52"/>
      <c r="D27" s="52" t="s">
        <v>681</v>
      </c>
      <c r="E27" s="18" t="s">
        <v>681</v>
      </c>
      <c r="F27" s="52" t="s">
        <v>1569</v>
      </c>
      <c r="G27" s="52" t="s">
        <v>681</v>
      </c>
      <c r="H27" s="52"/>
    </row>
    <row r="28" spans="1:8">
      <c r="A28" s="63" t="s">
        <v>679</v>
      </c>
      <c r="B28" s="52" t="s">
        <v>1579</v>
      </c>
      <c r="C28" s="52"/>
      <c r="D28" s="52" t="s">
        <v>681</v>
      </c>
      <c r="E28" s="18" t="s">
        <v>681</v>
      </c>
      <c r="F28" s="52" t="s">
        <v>1569</v>
      </c>
      <c r="G28" s="52" t="s">
        <v>681</v>
      </c>
      <c r="H28" s="52"/>
    </row>
    <row r="16373" spans="7:7">
      <c r="G16373" t="s">
        <v>1553</v>
      </c>
    </row>
    <row r="16374" spans="7:7">
      <c r="G16374" t="s">
        <v>1553</v>
      </c>
    </row>
    <row r="16375" spans="7:7">
      <c r="G16375" t="s">
        <v>1580</v>
      </c>
    </row>
    <row r="16376" spans="7:7">
      <c r="G16376" t="s">
        <v>1553</v>
      </c>
    </row>
    <row r="16377" spans="7:7">
      <c r="G16377" t="s">
        <v>1580</v>
      </c>
    </row>
    <row r="16378" spans="7:7">
      <c r="G16378" t="s">
        <v>1580</v>
      </c>
    </row>
    <row r="16379" spans="7:7">
      <c r="G16379" t="s">
        <v>1553</v>
      </c>
    </row>
    <row r="16380" spans="7:7">
      <c r="G16380" t="s">
        <v>1553</v>
      </c>
    </row>
    <row r="16381" spans="7:7">
      <c r="G16381" t="s">
        <v>1553</v>
      </c>
    </row>
    <row r="16382" spans="7:7">
      <c r="G16382" t="s">
        <v>1569</v>
      </c>
    </row>
    <row r="16383" spans="7:7">
      <c r="G16383" t="s">
        <v>1569</v>
      </c>
    </row>
    <row r="16384" spans="7:7">
      <c r="G16384" t="s">
        <v>1569</v>
      </c>
    </row>
    <row r="16385" spans="7:7">
      <c r="G16385" t="s">
        <v>1569</v>
      </c>
    </row>
    <row r="16386" spans="7:7">
      <c r="G16386" t="s">
        <v>1569</v>
      </c>
    </row>
    <row r="16387" spans="7:7">
      <c r="G16387" t="s">
        <v>1553</v>
      </c>
    </row>
    <row r="16388" spans="7:7">
      <c r="G16388" t="s">
        <v>1553</v>
      </c>
    </row>
    <row r="16398" spans="7:7">
      <c r="G16398" t="s">
        <v>1553</v>
      </c>
    </row>
    <row r="16399" spans="7:7">
      <c r="G16399" t="s">
        <v>1569</v>
      </c>
    </row>
    <row r="16400" spans="7:7">
      <c r="G16400" t="s">
        <v>1580</v>
      </c>
    </row>
    <row r="16401" spans="7:7">
      <c r="G16401" t="s">
        <v>1569</v>
      </c>
    </row>
    <row r="16402" spans="7:7">
      <c r="G16402" t="s">
        <v>1569</v>
      </c>
    </row>
    <row r="16403" spans="7:7">
      <c r="G16403" t="s">
        <v>1569</v>
      </c>
    </row>
    <row r="16404" spans="7:7">
      <c r="G16404" t="s">
        <v>1569</v>
      </c>
    </row>
    <row r="16405" spans="7:7">
      <c r="G16405" t="s">
        <v>1569</v>
      </c>
    </row>
    <row r="16406" spans="7:7">
      <c r="G16406" t="s">
        <v>1569</v>
      </c>
    </row>
    <row r="16407" spans="7:7">
      <c r="G16407" t="s">
        <v>1569</v>
      </c>
    </row>
    <row r="16408" spans="7:7">
      <c r="G16408" t="s">
        <v>1569</v>
      </c>
    </row>
    <row r="16409" spans="7:7">
      <c r="G16409" t="s">
        <v>1569</v>
      </c>
    </row>
    <row r="16410" spans="7:7">
      <c r="G16410" t="s">
        <v>1553</v>
      </c>
    </row>
    <row r="16411" spans="7:7">
      <c r="G16411" t="s">
        <v>1569</v>
      </c>
    </row>
    <row r="16412" spans="7:7">
      <c r="G16412" t="s">
        <v>1569</v>
      </c>
    </row>
    <row r="32757" spans="7:7">
      <c r="G32757" t="s">
        <v>1553</v>
      </c>
    </row>
    <row r="32758" spans="7:7">
      <c r="G32758" t="s">
        <v>1553</v>
      </c>
    </row>
    <row r="32759" spans="7:7">
      <c r="G32759" t="s">
        <v>1580</v>
      </c>
    </row>
    <row r="32760" spans="7:7">
      <c r="G32760" t="s">
        <v>1553</v>
      </c>
    </row>
    <row r="32761" spans="7:7">
      <c r="G32761" t="s">
        <v>1580</v>
      </c>
    </row>
    <row r="32762" spans="7:7">
      <c r="G32762" t="s">
        <v>1580</v>
      </c>
    </row>
    <row r="32763" spans="7:7">
      <c r="G32763" t="s">
        <v>1553</v>
      </c>
    </row>
    <row r="32764" spans="7:7">
      <c r="G32764" t="s">
        <v>1553</v>
      </c>
    </row>
    <row r="32765" spans="7:7">
      <c r="G32765" t="s">
        <v>1553</v>
      </c>
    </row>
    <row r="32766" spans="7:7">
      <c r="G32766" t="s">
        <v>1569</v>
      </c>
    </row>
    <row r="32767" spans="7:7">
      <c r="G32767" t="s">
        <v>1569</v>
      </c>
    </row>
    <row r="32768" spans="7:7">
      <c r="G32768" t="s">
        <v>1569</v>
      </c>
    </row>
    <row r="32769" spans="7:7">
      <c r="G32769" t="s">
        <v>1569</v>
      </c>
    </row>
    <row r="32770" spans="7:7">
      <c r="G32770" t="s">
        <v>1569</v>
      </c>
    </row>
    <row r="32771" spans="7:7">
      <c r="G32771" t="s">
        <v>1553</v>
      </c>
    </row>
    <row r="32772" spans="7:7">
      <c r="G32772" t="s">
        <v>1553</v>
      </c>
    </row>
    <row r="32782" spans="7:7">
      <c r="G32782" t="s">
        <v>1553</v>
      </c>
    </row>
    <row r="32783" spans="7:7">
      <c r="G32783" t="s">
        <v>1569</v>
      </c>
    </row>
    <row r="32784" spans="7:7">
      <c r="G32784" t="s">
        <v>1580</v>
      </c>
    </row>
    <row r="32785" spans="7:7">
      <c r="G32785" t="s">
        <v>1569</v>
      </c>
    </row>
    <row r="32786" spans="7:7">
      <c r="G32786" t="s">
        <v>1569</v>
      </c>
    </row>
    <row r="32787" spans="7:7">
      <c r="G32787" t="s">
        <v>1569</v>
      </c>
    </row>
    <row r="32788" spans="7:7">
      <c r="G32788" t="s">
        <v>1569</v>
      </c>
    </row>
    <row r="32789" spans="7:7">
      <c r="G32789" t="s">
        <v>1569</v>
      </c>
    </row>
    <row r="32790" spans="7:7">
      <c r="G32790" t="s">
        <v>1569</v>
      </c>
    </row>
    <row r="32791" spans="7:7">
      <c r="G32791" t="s">
        <v>1569</v>
      </c>
    </row>
    <row r="32792" spans="7:7">
      <c r="G32792" t="s">
        <v>1569</v>
      </c>
    </row>
    <row r="32793" spans="7:7">
      <c r="G32793" t="s">
        <v>1569</v>
      </c>
    </row>
    <row r="32794" spans="7:7">
      <c r="G32794" t="s">
        <v>1553</v>
      </c>
    </row>
    <row r="32795" spans="7:7">
      <c r="G32795" t="s">
        <v>1569</v>
      </c>
    </row>
    <row r="32796" spans="7:7">
      <c r="G32796" t="s">
        <v>1569</v>
      </c>
    </row>
    <row r="49141" spans="7:7">
      <c r="G49141" t="s">
        <v>1553</v>
      </c>
    </row>
    <row r="49142" spans="7:7">
      <c r="G49142" t="s">
        <v>1553</v>
      </c>
    </row>
    <row r="49143" spans="7:7">
      <c r="G49143" t="s">
        <v>1580</v>
      </c>
    </row>
    <row r="49144" spans="7:7">
      <c r="G49144" t="s">
        <v>1553</v>
      </c>
    </row>
    <row r="49145" spans="7:7">
      <c r="G49145" t="s">
        <v>1580</v>
      </c>
    </row>
    <row r="49146" spans="7:7">
      <c r="G49146" t="s">
        <v>1580</v>
      </c>
    </row>
    <row r="49147" spans="7:7">
      <c r="G49147" t="s">
        <v>1553</v>
      </c>
    </row>
    <row r="49148" spans="7:7">
      <c r="G49148" t="s">
        <v>1553</v>
      </c>
    </row>
    <row r="49149" spans="7:7">
      <c r="G49149" t="s">
        <v>1553</v>
      </c>
    </row>
    <row r="49150" spans="7:7">
      <c r="G49150" t="s">
        <v>1569</v>
      </c>
    </row>
    <row r="49151" spans="7:7">
      <c r="G49151" t="s">
        <v>1569</v>
      </c>
    </row>
    <row r="49152" spans="7:7">
      <c r="G49152" t="s">
        <v>1569</v>
      </c>
    </row>
    <row r="49153" spans="7:7">
      <c r="G49153" t="s">
        <v>1569</v>
      </c>
    </row>
    <row r="49154" spans="7:7">
      <c r="G49154" t="s">
        <v>1569</v>
      </c>
    </row>
    <row r="49155" spans="7:7">
      <c r="G49155" t="s">
        <v>1553</v>
      </c>
    </row>
    <row r="49156" spans="7:7">
      <c r="G49156" t="s">
        <v>1553</v>
      </c>
    </row>
    <row r="49166" spans="7:7">
      <c r="G49166" t="s">
        <v>1553</v>
      </c>
    </row>
    <row r="49167" spans="7:7">
      <c r="G49167" t="s">
        <v>1569</v>
      </c>
    </row>
    <row r="49168" spans="7:7">
      <c r="G49168" t="s">
        <v>1580</v>
      </c>
    </row>
    <row r="49169" spans="7:7">
      <c r="G49169" t="s">
        <v>1569</v>
      </c>
    </row>
    <row r="49170" spans="7:7">
      <c r="G49170" t="s">
        <v>1569</v>
      </c>
    </row>
    <row r="49171" spans="7:7">
      <c r="G49171" t="s">
        <v>1569</v>
      </c>
    </row>
    <row r="49172" spans="7:7">
      <c r="G49172" t="s">
        <v>1569</v>
      </c>
    </row>
    <row r="49173" spans="7:7">
      <c r="G49173" t="s">
        <v>1569</v>
      </c>
    </row>
    <row r="49174" spans="7:7">
      <c r="G49174" t="s">
        <v>1569</v>
      </c>
    </row>
    <row r="49175" spans="7:7">
      <c r="G49175" t="s">
        <v>1569</v>
      </c>
    </row>
    <row r="49176" spans="7:7">
      <c r="G49176" t="s">
        <v>1569</v>
      </c>
    </row>
    <row r="49177" spans="7:7">
      <c r="G49177" t="s">
        <v>1569</v>
      </c>
    </row>
    <row r="49178" spans="7:7">
      <c r="G49178" t="s">
        <v>1553</v>
      </c>
    </row>
    <row r="49179" spans="7:7">
      <c r="G49179" t="s">
        <v>1569</v>
      </c>
    </row>
    <row r="49180" spans="7:7">
      <c r="G49180" t="s">
        <v>1569</v>
      </c>
    </row>
    <row r="65525" spans="7:7">
      <c r="G65525" t="s">
        <v>1553</v>
      </c>
    </row>
    <row r="65526" spans="7:7">
      <c r="G65526" t="s">
        <v>1553</v>
      </c>
    </row>
    <row r="65527" spans="7:7">
      <c r="G65527" t="s">
        <v>1580</v>
      </c>
    </row>
    <row r="65528" spans="7:7">
      <c r="G65528" t="s">
        <v>1553</v>
      </c>
    </row>
    <row r="65529" spans="7:7">
      <c r="G65529" t="s">
        <v>1580</v>
      </c>
    </row>
    <row r="65530" spans="7:7">
      <c r="G65530" t="s">
        <v>1580</v>
      </c>
    </row>
    <row r="65531" spans="7:7">
      <c r="G65531" t="s">
        <v>1553</v>
      </c>
    </row>
    <row r="65532" spans="7:7">
      <c r="G65532" t="s">
        <v>1553</v>
      </c>
    </row>
    <row r="65533" spans="7:7">
      <c r="G65533" t="s">
        <v>1553</v>
      </c>
    </row>
    <row r="65534" spans="7:7">
      <c r="G65534" t="s">
        <v>1569</v>
      </c>
    </row>
    <row r="65535" spans="7:7">
      <c r="G65535" t="s">
        <v>1569</v>
      </c>
    </row>
    <row r="65536" spans="7:7">
      <c r="G65536" t="s">
        <v>1569</v>
      </c>
    </row>
    <row r="65537" spans="7:7">
      <c r="G65537" t="s">
        <v>1569</v>
      </c>
    </row>
    <row r="65538" spans="7:7">
      <c r="G65538" t="s">
        <v>1569</v>
      </c>
    </row>
    <row r="65539" spans="7:7">
      <c r="G65539" t="s">
        <v>1553</v>
      </c>
    </row>
    <row r="65540" spans="7:7">
      <c r="G65540" t="s">
        <v>1553</v>
      </c>
    </row>
    <row r="65550" spans="7:7">
      <c r="G65550" t="s">
        <v>1553</v>
      </c>
    </row>
    <row r="65551" spans="7:7">
      <c r="G65551" t="s">
        <v>1569</v>
      </c>
    </row>
    <row r="65552" spans="7:7">
      <c r="G65552" t="s">
        <v>1580</v>
      </c>
    </row>
    <row r="65553" spans="7:7">
      <c r="G65553" t="s">
        <v>1569</v>
      </c>
    </row>
    <row r="65554" spans="7:7">
      <c r="G65554" t="s">
        <v>1569</v>
      </c>
    </row>
    <row r="65555" spans="7:7">
      <c r="G65555" t="s">
        <v>1569</v>
      </c>
    </row>
    <row r="65556" spans="7:7">
      <c r="G65556" t="s">
        <v>1569</v>
      </c>
    </row>
    <row r="65557" spans="7:7">
      <c r="G65557" t="s">
        <v>1569</v>
      </c>
    </row>
    <row r="65558" spans="7:7">
      <c r="G65558" t="s">
        <v>1569</v>
      </c>
    </row>
    <row r="65559" spans="7:7">
      <c r="G65559" t="s">
        <v>1569</v>
      </c>
    </row>
    <row r="65560" spans="7:7">
      <c r="G65560" t="s">
        <v>1569</v>
      </c>
    </row>
    <row r="65561" spans="7:7">
      <c r="G65561" t="s">
        <v>1569</v>
      </c>
    </row>
    <row r="65562" spans="7:7">
      <c r="G65562" t="s">
        <v>1553</v>
      </c>
    </row>
    <row r="65563" spans="7:7">
      <c r="G65563" t="s">
        <v>1569</v>
      </c>
    </row>
    <row r="65564" spans="7:7">
      <c r="G65564" t="s">
        <v>1569</v>
      </c>
    </row>
    <row r="81909" spans="7:7">
      <c r="G81909" t="s">
        <v>1553</v>
      </c>
    </row>
    <row r="81910" spans="7:7">
      <c r="G81910" t="s">
        <v>1553</v>
      </c>
    </row>
    <row r="81911" spans="7:7">
      <c r="G81911" t="s">
        <v>1580</v>
      </c>
    </row>
    <row r="81912" spans="7:7">
      <c r="G81912" t="s">
        <v>1553</v>
      </c>
    </row>
    <row r="81913" spans="7:7">
      <c r="G81913" t="s">
        <v>1580</v>
      </c>
    </row>
    <row r="81914" spans="7:7">
      <c r="G81914" t="s">
        <v>1580</v>
      </c>
    </row>
    <row r="81915" spans="7:7">
      <c r="G81915" t="s">
        <v>1553</v>
      </c>
    </row>
    <row r="81916" spans="7:7">
      <c r="G81916" t="s">
        <v>1553</v>
      </c>
    </row>
    <row r="81917" spans="7:7">
      <c r="G81917" t="s">
        <v>1553</v>
      </c>
    </row>
    <row r="81918" spans="7:7">
      <c r="G81918" t="s">
        <v>1569</v>
      </c>
    </row>
    <row r="81919" spans="7:7">
      <c r="G81919" t="s">
        <v>1569</v>
      </c>
    </row>
    <row r="81920" spans="7:7">
      <c r="G81920" t="s">
        <v>1569</v>
      </c>
    </row>
    <row r="81921" spans="7:7">
      <c r="G81921" t="s">
        <v>1569</v>
      </c>
    </row>
    <row r="81922" spans="7:7">
      <c r="G81922" t="s">
        <v>1569</v>
      </c>
    </row>
    <row r="81923" spans="7:7">
      <c r="G81923" t="s">
        <v>1553</v>
      </c>
    </row>
    <row r="81924" spans="7:7">
      <c r="G81924" t="s">
        <v>1553</v>
      </c>
    </row>
    <row r="81934" spans="7:7">
      <c r="G81934" t="s">
        <v>1553</v>
      </c>
    </row>
    <row r="81935" spans="7:7">
      <c r="G81935" t="s">
        <v>1569</v>
      </c>
    </row>
    <row r="81936" spans="7:7">
      <c r="G81936" t="s">
        <v>1580</v>
      </c>
    </row>
    <row r="81937" spans="7:7">
      <c r="G81937" t="s">
        <v>1569</v>
      </c>
    </row>
    <row r="81938" spans="7:7">
      <c r="G81938" t="s">
        <v>1569</v>
      </c>
    </row>
    <row r="81939" spans="7:7">
      <c r="G81939" t="s">
        <v>1569</v>
      </c>
    </row>
    <row r="81940" spans="7:7">
      <c r="G81940" t="s">
        <v>1569</v>
      </c>
    </row>
    <row r="81941" spans="7:7">
      <c r="G81941" t="s">
        <v>1569</v>
      </c>
    </row>
    <row r="81942" spans="7:7">
      <c r="G81942" t="s">
        <v>1569</v>
      </c>
    </row>
    <row r="81943" spans="7:7">
      <c r="G81943" t="s">
        <v>1569</v>
      </c>
    </row>
    <row r="81944" spans="7:7">
      <c r="G81944" t="s">
        <v>1569</v>
      </c>
    </row>
    <row r="81945" spans="7:7">
      <c r="G81945" t="s">
        <v>1569</v>
      </c>
    </row>
    <row r="81946" spans="7:7">
      <c r="G81946" t="s">
        <v>1553</v>
      </c>
    </row>
    <row r="81947" spans="7:7">
      <c r="G81947" t="s">
        <v>1569</v>
      </c>
    </row>
    <row r="81948" spans="7:7">
      <c r="G81948" t="s">
        <v>1569</v>
      </c>
    </row>
    <row r="98293" spans="7:7">
      <c r="G98293" t="s">
        <v>1553</v>
      </c>
    </row>
    <row r="98294" spans="7:7">
      <c r="G98294" t="s">
        <v>1553</v>
      </c>
    </row>
    <row r="98295" spans="7:7">
      <c r="G98295" t="s">
        <v>1580</v>
      </c>
    </row>
    <row r="98296" spans="7:7">
      <c r="G98296" t="s">
        <v>1553</v>
      </c>
    </row>
    <row r="98297" spans="7:7">
      <c r="G98297" t="s">
        <v>1580</v>
      </c>
    </row>
    <row r="98298" spans="7:7">
      <c r="G98298" t="s">
        <v>1580</v>
      </c>
    </row>
    <row r="98299" spans="7:7">
      <c r="G98299" t="s">
        <v>1553</v>
      </c>
    </row>
    <row r="98300" spans="7:7">
      <c r="G98300" t="s">
        <v>1553</v>
      </c>
    </row>
    <row r="98301" spans="7:7">
      <c r="G98301" t="s">
        <v>1553</v>
      </c>
    </row>
    <row r="98302" spans="7:7">
      <c r="G98302" t="s">
        <v>1569</v>
      </c>
    </row>
    <row r="98303" spans="7:7">
      <c r="G98303" t="s">
        <v>1569</v>
      </c>
    </row>
    <row r="98304" spans="7:7">
      <c r="G98304" t="s">
        <v>1569</v>
      </c>
    </row>
    <row r="98305" spans="7:7">
      <c r="G98305" t="s">
        <v>1569</v>
      </c>
    </row>
    <row r="98306" spans="7:7">
      <c r="G98306" t="s">
        <v>1569</v>
      </c>
    </row>
    <row r="98307" spans="7:7">
      <c r="G98307" t="s">
        <v>1553</v>
      </c>
    </row>
    <row r="98308" spans="7:7">
      <c r="G98308" t="s">
        <v>1553</v>
      </c>
    </row>
    <row r="98318" spans="7:7">
      <c r="G98318" t="s">
        <v>1553</v>
      </c>
    </row>
    <row r="98319" spans="7:7">
      <c r="G98319" t="s">
        <v>1569</v>
      </c>
    </row>
    <row r="98320" spans="7:7">
      <c r="G98320" t="s">
        <v>1580</v>
      </c>
    </row>
    <row r="98321" spans="7:7">
      <c r="G98321" t="s">
        <v>1569</v>
      </c>
    </row>
    <row r="98322" spans="7:7">
      <c r="G98322" t="s">
        <v>1569</v>
      </c>
    </row>
    <row r="98323" spans="7:7">
      <c r="G98323" t="s">
        <v>1569</v>
      </c>
    </row>
    <row r="98324" spans="7:7">
      <c r="G98324" t="s">
        <v>1569</v>
      </c>
    </row>
    <row r="98325" spans="7:7">
      <c r="G98325" t="s">
        <v>1569</v>
      </c>
    </row>
    <row r="98326" spans="7:7">
      <c r="G98326" t="s">
        <v>1569</v>
      </c>
    </row>
    <row r="98327" spans="7:7">
      <c r="G98327" t="s">
        <v>1569</v>
      </c>
    </row>
    <row r="98328" spans="7:7">
      <c r="G98328" t="s">
        <v>1569</v>
      </c>
    </row>
    <row r="98329" spans="7:7">
      <c r="G98329" t="s">
        <v>1569</v>
      </c>
    </row>
    <row r="98330" spans="7:7">
      <c r="G98330" t="s">
        <v>1553</v>
      </c>
    </row>
    <row r="98331" spans="7:7">
      <c r="G98331" t="s">
        <v>1569</v>
      </c>
    </row>
    <row r="98332" spans="7:7">
      <c r="G98332" t="s">
        <v>1569</v>
      </c>
    </row>
    <row r="114677" spans="7:7">
      <c r="G114677" t="s">
        <v>1553</v>
      </c>
    </row>
    <row r="114678" spans="7:7">
      <c r="G114678" t="s">
        <v>1553</v>
      </c>
    </row>
    <row r="114679" spans="7:7">
      <c r="G114679" t="s">
        <v>1580</v>
      </c>
    </row>
    <row r="114680" spans="7:7">
      <c r="G114680" t="s">
        <v>1553</v>
      </c>
    </row>
    <row r="114681" spans="7:7">
      <c r="G114681" t="s">
        <v>1580</v>
      </c>
    </row>
    <row r="114682" spans="7:7">
      <c r="G114682" t="s">
        <v>1580</v>
      </c>
    </row>
    <row r="114683" spans="7:7">
      <c r="G114683" t="s">
        <v>1553</v>
      </c>
    </row>
    <row r="114684" spans="7:7">
      <c r="G114684" t="s">
        <v>1553</v>
      </c>
    </row>
    <row r="114685" spans="7:7">
      <c r="G114685" t="s">
        <v>1553</v>
      </c>
    </row>
    <row r="114686" spans="7:7">
      <c r="G114686" t="s">
        <v>1569</v>
      </c>
    </row>
    <row r="114687" spans="7:7">
      <c r="G114687" t="s">
        <v>1569</v>
      </c>
    </row>
    <row r="114688" spans="7:7">
      <c r="G114688" t="s">
        <v>1569</v>
      </c>
    </row>
    <row r="114689" spans="7:7">
      <c r="G114689" t="s">
        <v>1569</v>
      </c>
    </row>
    <row r="114690" spans="7:7">
      <c r="G114690" t="s">
        <v>1569</v>
      </c>
    </row>
    <row r="114691" spans="7:7">
      <c r="G114691" t="s">
        <v>1553</v>
      </c>
    </row>
    <row r="114692" spans="7:7">
      <c r="G114692" t="s">
        <v>1553</v>
      </c>
    </row>
    <row r="114702" spans="7:7">
      <c r="G114702" t="s">
        <v>1553</v>
      </c>
    </row>
    <row r="114703" spans="7:7">
      <c r="G114703" t="s">
        <v>1569</v>
      </c>
    </row>
    <row r="114704" spans="7:7">
      <c r="G114704" t="s">
        <v>1580</v>
      </c>
    </row>
    <row r="114705" spans="7:7">
      <c r="G114705" t="s">
        <v>1569</v>
      </c>
    </row>
    <row r="114706" spans="7:7">
      <c r="G114706" t="s">
        <v>1569</v>
      </c>
    </row>
    <row r="114707" spans="7:7">
      <c r="G114707" t="s">
        <v>1569</v>
      </c>
    </row>
    <row r="114708" spans="7:7">
      <c r="G114708" t="s">
        <v>1569</v>
      </c>
    </row>
    <row r="114709" spans="7:7">
      <c r="G114709" t="s">
        <v>1569</v>
      </c>
    </row>
    <row r="114710" spans="7:7">
      <c r="G114710" t="s">
        <v>1569</v>
      </c>
    </row>
    <row r="114711" spans="7:7">
      <c r="G114711" t="s">
        <v>1569</v>
      </c>
    </row>
    <row r="114712" spans="7:7">
      <c r="G114712" t="s">
        <v>1569</v>
      </c>
    </row>
    <row r="114713" spans="7:7">
      <c r="G114713" t="s">
        <v>1569</v>
      </c>
    </row>
    <row r="114714" spans="7:7">
      <c r="G114714" t="s">
        <v>1553</v>
      </c>
    </row>
    <row r="114715" spans="7:7">
      <c r="G114715" t="s">
        <v>1569</v>
      </c>
    </row>
    <row r="114716" spans="7:7">
      <c r="G114716" t="s">
        <v>1569</v>
      </c>
    </row>
    <row r="131061" spans="7:7">
      <c r="G131061" t="s">
        <v>1553</v>
      </c>
    </row>
    <row r="131062" spans="7:7">
      <c r="G131062" t="s">
        <v>1553</v>
      </c>
    </row>
    <row r="131063" spans="7:7">
      <c r="G131063" t="s">
        <v>1580</v>
      </c>
    </row>
    <row r="131064" spans="7:7">
      <c r="G131064" t="s">
        <v>1553</v>
      </c>
    </row>
    <row r="131065" spans="7:7">
      <c r="G131065" t="s">
        <v>1580</v>
      </c>
    </row>
    <row r="131066" spans="7:7">
      <c r="G131066" t="s">
        <v>1580</v>
      </c>
    </row>
    <row r="131067" spans="7:7">
      <c r="G131067" t="s">
        <v>1553</v>
      </c>
    </row>
    <row r="131068" spans="7:7">
      <c r="G131068" t="s">
        <v>1553</v>
      </c>
    </row>
    <row r="131069" spans="7:7">
      <c r="G131069" t="s">
        <v>1553</v>
      </c>
    </row>
    <row r="131070" spans="7:7">
      <c r="G131070" t="s">
        <v>1569</v>
      </c>
    </row>
    <row r="131071" spans="7:7">
      <c r="G131071" t="s">
        <v>1569</v>
      </c>
    </row>
    <row r="131072" spans="7:7">
      <c r="G131072" t="s">
        <v>1569</v>
      </c>
    </row>
    <row r="131073" spans="7:7">
      <c r="G131073" t="s">
        <v>1569</v>
      </c>
    </row>
    <row r="131074" spans="7:7">
      <c r="G131074" t="s">
        <v>1569</v>
      </c>
    </row>
    <row r="131075" spans="7:7">
      <c r="G131075" t="s">
        <v>1553</v>
      </c>
    </row>
    <row r="131076" spans="7:7">
      <c r="G131076" t="s">
        <v>1553</v>
      </c>
    </row>
    <row r="131086" spans="7:7">
      <c r="G131086" t="s">
        <v>1553</v>
      </c>
    </row>
    <row r="131087" spans="7:7">
      <c r="G131087" t="s">
        <v>1569</v>
      </c>
    </row>
    <row r="131088" spans="7:7">
      <c r="G131088" t="s">
        <v>1580</v>
      </c>
    </row>
    <row r="131089" spans="7:7">
      <c r="G131089" t="s">
        <v>1569</v>
      </c>
    </row>
    <row r="131090" spans="7:7">
      <c r="G131090" t="s">
        <v>1569</v>
      </c>
    </row>
    <row r="131091" spans="7:7">
      <c r="G131091" t="s">
        <v>1569</v>
      </c>
    </row>
    <row r="131092" spans="7:7">
      <c r="G131092" t="s">
        <v>1569</v>
      </c>
    </row>
    <row r="131093" spans="7:7">
      <c r="G131093" t="s">
        <v>1569</v>
      </c>
    </row>
    <row r="131094" spans="7:7">
      <c r="G131094" t="s">
        <v>1569</v>
      </c>
    </row>
    <row r="131095" spans="7:7">
      <c r="G131095" t="s">
        <v>1569</v>
      </c>
    </row>
    <row r="131096" spans="7:7">
      <c r="G131096" t="s">
        <v>1569</v>
      </c>
    </row>
    <row r="131097" spans="7:7">
      <c r="G131097" t="s">
        <v>1569</v>
      </c>
    </row>
    <row r="131098" spans="7:7">
      <c r="G131098" t="s">
        <v>1553</v>
      </c>
    </row>
    <row r="131099" spans="7:7">
      <c r="G131099" t="s">
        <v>1569</v>
      </c>
    </row>
    <row r="131100" spans="7:7">
      <c r="G131100" t="s">
        <v>1569</v>
      </c>
    </row>
    <row r="147445" spans="7:7">
      <c r="G147445" t="s">
        <v>1553</v>
      </c>
    </row>
    <row r="147446" spans="7:7">
      <c r="G147446" t="s">
        <v>1553</v>
      </c>
    </row>
    <row r="147447" spans="7:7">
      <c r="G147447" t="s">
        <v>1580</v>
      </c>
    </row>
    <row r="147448" spans="7:7">
      <c r="G147448" t="s">
        <v>1553</v>
      </c>
    </row>
    <row r="147449" spans="7:7">
      <c r="G147449" t="s">
        <v>1580</v>
      </c>
    </row>
    <row r="147450" spans="7:7">
      <c r="G147450" t="s">
        <v>1580</v>
      </c>
    </row>
    <row r="147451" spans="7:7">
      <c r="G147451" t="s">
        <v>1553</v>
      </c>
    </row>
    <row r="147452" spans="7:7">
      <c r="G147452" t="s">
        <v>1553</v>
      </c>
    </row>
    <row r="147453" spans="7:7">
      <c r="G147453" t="s">
        <v>1553</v>
      </c>
    </row>
    <row r="147454" spans="7:7">
      <c r="G147454" t="s">
        <v>1569</v>
      </c>
    </row>
    <row r="147455" spans="7:7">
      <c r="G147455" t="s">
        <v>1569</v>
      </c>
    </row>
    <row r="147456" spans="7:7">
      <c r="G147456" t="s">
        <v>1569</v>
      </c>
    </row>
    <row r="147457" spans="7:7">
      <c r="G147457" t="s">
        <v>1569</v>
      </c>
    </row>
    <row r="147458" spans="7:7">
      <c r="G147458" t="s">
        <v>1569</v>
      </c>
    </row>
    <row r="147459" spans="7:7">
      <c r="G147459" t="s">
        <v>1553</v>
      </c>
    </row>
    <row r="147460" spans="7:7">
      <c r="G147460" t="s">
        <v>1553</v>
      </c>
    </row>
    <row r="147470" spans="7:7">
      <c r="G147470" t="s">
        <v>1553</v>
      </c>
    </row>
    <row r="147471" spans="7:7">
      <c r="G147471" t="s">
        <v>1569</v>
      </c>
    </row>
    <row r="147472" spans="7:7">
      <c r="G147472" t="s">
        <v>1580</v>
      </c>
    </row>
    <row r="147473" spans="7:7">
      <c r="G147473" t="s">
        <v>1569</v>
      </c>
    </row>
    <row r="147474" spans="7:7">
      <c r="G147474" t="s">
        <v>1569</v>
      </c>
    </row>
    <row r="147475" spans="7:7">
      <c r="G147475" t="s">
        <v>1569</v>
      </c>
    </row>
    <row r="147476" spans="7:7">
      <c r="G147476" t="s">
        <v>1569</v>
      </c>
    </row>
    <row r="147477" spans="7:7">
      <c r="G147477" t="s">
        <v>1569</v>
      </c>
    </row>
    <row r="147478" spans="7:7">
      <c r="G147478" t="s">
        <v>1569</v>
      </c>
    </row>
    <row r="147479" spans="7:7">
      <c r="G147479" t="s">
        <v>1569</v>
      </c>
    </row>
    <row r="147480" spans="7:7">
      <c r="G147480" t="s">
        <v>1569</v>
      </c>
    </row>
    <row r="147481" spans="7:7">
      <c r="G147481" t="s">
        <v>1569</v>
      </c>
    </row>
    <row r="147482" spans="7:7">
      <c r="G147482" t="s">
        <v>1553</v>
      </c>
    </row>
    <row r="147483" spans="7:7">
      <c r="G147483" t="s">
        <v>1569</v>
      </c>
    </row>
    <row r="147484" spans="7:7">
      <c r="G147484" t="s">
        <v>1569</v>
      </c>
    </row>
    <row r="163829" spans="7:7">
      <c r="G163829" t="s">
        <v>1553</v>
      </c>
    </row>
    <row r="163830" spans="7:7">
      <c r="G163830" t="s">
        <v>1553</v>
      </c>
    </row>
    <row r="163831" spans="7:7">
      <c r="G163831" t="s">
        <v>1580</v>
      </c>
    </row>
    <row r="163832" spans="7:7">
      <c r="G163832" t="s">
        <v>1553</v>
      </c>
    </row>
    <row r="163833" spans="7:7">
      <c r="G163833" t="s">
        <v>1580</v>
      </c>
    </row>
    <row r="163834" spans="7:7">
      <c r="G163834" t="s">
        <v>1580</v>
      </c>
    </row>
    <row r="163835" spans="7:7">
      <c r="G163835" t="s">
        <v>1553</v>
      </c>
    </row>
    <row r="163836" spans="7:7">
      <c r="G163836" t="s">
        <v>1553</v>
      </c>
    </row>
    <row r="163837" spans="7:7">
      <c r="G163837" t="s">
        <v>1553</v>
      </c>
    </row>
    <row r="163838" spans="7:7">
      <c r="G163838" t="s">
        <v>1569</v>
      </c>
    </row>
    <row r="163839" spans="7:7">
      <c r="G163839" t="s">
        <v>1569</v>
      </c>
    </row>
    <row r="163840" spans="7:7">
      <c r="G163840" t="s">
        <v>1569</v>
      </c>
    </row>
    <row r="163841" spans="7:7">
      <c r="G163841" t="s">
        <v>1569</v>
      </c>
    </row>
    <row r="163842" spans="7:7">
      <c r="G163842" t="s">
        <v>1569</v>
      </c>
    </row>
    <row r="163843" spans="7:7">
      <c r="G163843" t="s">
        <v>1553</v>
      </c>
    </row>
    <row r="163844" spans="7:7">
      <c r="G163844" t="s">
        <v>1553</v>
      </c>
    </row>
    <row r="163854" spans="7:7">
      <c r="G163854" t="s">
        <v>1553</v>
      </c>
    </row>
    <row r="163855" spans="7:7">
      <c r="G163855" t="s">
        <v>1569</v>
      </c>
    </row>
    <row r="163856" spans="7:7">
      <c r="G163856" t="s">
        <v>1580</v>
      </c>
    </row>
    <row r="163857" spans="7:7">
      <c r="G163857" t="s">
        <v>1569</v>
      </c>
    </row>
    <row r="163858" spans="7:7">
      <c r="G163858" t="s">
        <v>1569</v>
      </c>
    </row>
    <row r="163859" spans="7:7">
      <c r="G163859" t="s">
        <v>1569</v>
      </c>
    </row>
    <row r="163860" spans="7:7">
      <c r="G163860" t="s">
        <v>1569</v>
      </c>
    </row>
    <row r="163861" spans="7:7">
      <c r="G163861" t="s">
        <v>1569</v>
      </c>
    </row>
    <row r="163862" spans="7:7">
      <c r="G163862" t="s">
        <v>1569</v>
      </c>
    </row>
    <row r="163863" spans="7:7">
      <c r="G163863" t="s">
        <v>1569</v>
      </c>
    </row>
    <row r="163864" spans="7:7">
      <c r="G163864" t="s">
        <v>1569</v>
      </c>
    </row>
    <row r="163865" spans="7:7">
      <c r="G163865" t="s">
        <v>1569</v>
      </c>
    </row>
    <row r="163866" spans="7:7">
      <c r="G163866" t="s">
        <v>1553</v>
      </c>
    </row>
    <row r="163867" spans="7:7">
      <c r="G163867" t="s">
        <v>1569</v>
      </c>
    </row>
    <row r="163868" spans="7:7">
      <c r="G163868" t="s">
        <v>1569</v>
      </c>
    </row>
    <row r="180213" spans="7:7">
      <c r="G180213" t="s">
        <v>1553</v>
      </c>
    </row>
    <row r="180214" spans="7:7">
      <c r="G180214" t="s">
        <v>1553</v>
      </c>
    </row>
    <row r="180215" spans="7:7">
      <c r="G180215" t="s">
        <v>1580</v>
      </c>
    </row>
    <row r="180216" spans="7:7">
      <c r="G180216" t="s">
        <v>1553</v>
      </c>
    </row>
    <row r="180217" spans="7:7">
      <c r="G180217" t="s">
        <v>1580</v>
      </c>
    </row>
    <row r="180218" spans="7:7">
      <c r="G180218" t="s">
        <v>1580</v>
      </c>
    </row>
    <row r="180219" spans="7:7">
      <c r="G180219" t="s">
        <v>1553</v>
      </c>
    </row>
    <row r="180220" spans="7:7">
      <c r="G180220" t="s">
        <v>1553</v>
      </c>
    </row>
    <row r="180221" spans="7:7">
      <c r="G180221" t="s">
        <v>1553</v>
      </c>
    </row>
    <row r="180222" spans="7:7">
      <c r="G180222" t="s">
        <v>1569</v>
      </c>
    </row>
    <row r="180223" spans="7:7">
      <c r="G180223" t="s">
        <v>1569</v>
      </c>
    </row>
    <row r="180224" spans="7:7">
      <c r="G180224" t="s">
        <v>1569</v>
      </c>
    </row>
    <row r="180225" spans="7:7">
      <c r="G180225" t="s">
        <v>1569</v>
      </c>
    </row>
    <row r="180226" spans="7:7">
      <c r="G180226" t="s">
        <v>1569</v>
      </c>
    </row>
    <row r="180227" spans="7:7">
      <c r="G180227" t="s">
        <v>1553</v>
      </c>
    </row>
    <row r="180228" spans="7:7">
      <c r="G180228" t="s">
        <v>1553</v>
      </c>
    </row>
    <row r="180238" spans="7:7">
      <c r="G180238" t="s">
        <v>1553</v>
      </c>
    </row>
    <row r="180239" spans="7:7">
      <c r="G180239" t="s">
        <v>1569</v>
      </c>
    </row>
    <row r="180240" spans="7:7">
      <c r="G180240" t="s">
        <v>1580</v>
      </c>
    </row>
    <row r="180241" spans="7:7">
      <c r="G180241" t="s">
        <v>1569</v>
      </c>
    </row>
    <row r="180242" spans="7:7">
      <c r="G180242" t="s">
        <v>1569</v>
      </c>
    </row>
    <row r="180243" spans="7:7">
      <c r="G180243" t="s">
        <v>1569</v>
      </c>
    </row>
    <row r="180244" spans="7:7">
      <c r="G180244" t="s">
        <v>1569</v>
      </c>
    </row>
    <row r="180245" spans="7:7">
      <c r="G180245" t="s">
        <v>1569</v>
      </c>
    </row>
    <row r="180246" spans="7:7">
      <c r="G180246" t="s">
        <v>1569</v>
      </c>
    </row>
    <row r="180247" spans="7:7">
      <c r="G180247" t="s">
        <v>1569</v>
      </c>
    </row>
    <row r="180248" spans="7:7">
      <c r="G180248" t="s">
        <v>1569</v>
      </c>
    </row>
    <row r="180249" spans="7:7">
      <c r="G180249" t="s">
        <v>1569</v>
      </c>
    </row>
    <row r="180250" spans="7:7">
      <c r="G180250" t="s">
        <v>1553</v>
      </c>
    </row>
    <row r="180251" spans="7:7">
      <c r="G180251" t="s">
        <v>1569</v>
      </c>
    </row>
    <row r="180252" spans="7:7">
      <c r="G180252" t="s">
        <v>1569</v>
      </c>
    </row>
    <row r="196597" spans="7:7">
      <c r="G196597" t="s">
        <v>1553</v>
      </c>
    </row>
    <row r="196598" spans="7:7">
      <c r="G196598" t="s">
        <v>1553</v>
      </c>
    </row>
    <row r="196599" spans="7:7">
      <c r="G196599" t="s">
        <v>1580</v>
      </c>
    </row>
    <row r="196600" spans="7:7">
      <c r="G196600" t="s">
        <v>1553</v>
      </c>
    </row>
    <row r="196601" spans="7:7">
      <c r="G196601" t="s">
        <v>1580</v>
      </c>
    </row>
    <row r="196602" spans="7:7">
      <c r="G196602" t="s">
        <v>1580</v>
      </c>
    </row>
    <row r="196603" spans="7:7">
      <c r="G196603" t="s">
        <v>1553</v>
      </c>
    </row>
    <row r="196604" spans="7:7">
      <c r="G196604" t="s">
        <v>1553</v>
      </c>
    </row>
    <row r="196605" spans="7:7">
      <c r="G196605" t="s">
        <v>1553</v>
      </c>
    </row>
    <row r="196606" spans="7:7">
      <c r="G196606" t="s">
        <v>1569</v>
      </c>
    </row>
    <row r="196607" spans="7:7">
      <c r="G196607" t="s">
        <v>1569</v>
      </c>
    </row>
    <row r="196608" spans="7:7">
      <c r="G196608" t="s">
        <v>1569</v>
      </c>
    </row>
    <row r="196609" spans="7:7">
      <c r="G196609" t="s">
        <v>1569</v>
      </c>
    </row>
    <row r="196610" spans="7:7">
      <c r="G196610" t="s">
        <v>1569</v>
      </c>
    </row>
    <row r="196611" spans="7:7">
      <c r="G196611" t="s">
        <v>1553</v>
      </c>
    </row>
    <row r="196612" spans="7:7">
      <c r="G196612" t="s">
        <v>1553</v>
      </c>
    </row>
    <row r="196622" spans="7:7">
      <c r="G196622" t="s">
        <v>1553</v>
      </c>
    </row>
    <row r="196623" spans="7:7">
      <c r="G196623" t="s">
        <v>1569</v>
      </c>
    </row>
    <row r="196624" spans="7:7">
      <c r="G196624" t="s">
        <v>1580</v>
      </c>
    </row>
    <row r="196625" spans="7:7">
      <c r="G196625" t="s">
        <v>1569</v>
      </c>
    </row>
    <row r="196626" spans="7:7">
      <c r="G196626" t="s">
        <v>1569</v>
      </c>
    </row>
    <row r="196627" spans="7:7">
      <c r="G196627" t="s">
        <v>1569</v>
      </c>
    </row>
    <row r="196628" spans="7:7">
      <c r="G196628" t="s">
        <v>1569</v>
      </c>
    </row>
    <row r="196629" spans="7:7">
      <c r="G196629" t="s">
        <v>1569</v>
      </c>
    </row>
    <row r="196630" spans="7:7">
      <c r="G196630" t="s">
        <v>1569</v>
      </c>
    </row>
    <row r="196631" spans="7:7">
      <c r="G196631" t="s">
        <v>1569</v>
      </c>
    </row>
    <row r="196632" spans="7:7">
      <c r="G196632" t="s">
        <v>1569</v>
      </c>
    </row>
    <row r="196633" spans="7:7">
      <c r="G196633" t="s">
        <v>1569</v>
      </c>
    </row>
    <row r="196634" spans="7:7">
      <c r="G196634" t="s">
        <v>1553</v>
      </c>
    </row>
    <row r="196635" spans="7:7">
      <c r="G196635" t="s">
        <v>1569</v>
      </c>
    </row>
    <row r="196636" spans="7:7">
      <c r="G196636" t="s">
        <v>1569</v>
      </c>
    </row>
    <row r="212981" spans="7:7">
      <c r="G212981" t="s">
        <v>1553</v>
      </c>
    </row>
    <row r="212982" spans="7:7">
      <c r="G212982" t="s">
        <v>1553</v>
      </c>
    </row>
    <row r="212983" spans="7:7">
      <c r="G212983" t="s">
        <v>1580</v>
      </c>
    </row>
    <row r="212984" spans="7:7">
      <c r="G212984" t="s">
        <v>1553</v>
      </c>
    </row>
    <row r="212985" spans="7:7">
      <c r="G212985" t="s">
        <v>1580</v>
      </c>
    </row>
    <row r="212986" spans="7:7">
      <c r="G212986" t="s">
        <v>1580</v>
      </c>
    </row>
    <row r="212987" spans="7:7">
      <c r="G212987" t="s">
        <v>1553</v>
      </c>
    </row>
    <row r="212988" spans="7:7">
      <c r="G212988" t="s">
        <v>1553</v>
      </c>
    </row>
    <row r="212989" spans="7:7">
      <c r="G212989" t="s">
        <v>1553</v>
      </c>
    </row>
    <row r="212990" spans="7:7">
      <c r="G212990" t="s">
        <v>1569</v>
      </c>
    </row>
    <row r="212991" spans="7:7">
      <c r="G212991" t="s">
        <v>1569</v>
      </c>
    </row>
    <row r="212992" spans="7:7">
      <c r="G212992" t="s">
        <v>1569</v>
      </c>
    </row>
    <row r="212993" spans="7:7">
      <c r="G212993" t="s">
        <v>1569</v>
      </c>
    </row>
    <row r="212994" spans="7:7">
      <c r="G212994" t="s">
        <v>1569</v>
      </c>
    </row>
    <row r="212995" spans="7:7">
      <c r="G212995" t="s">
        <v>1553</v>
      </c>
    </row>
    <row r="212996" spans="7:7">
      <c r="G212996" t="s">
        <v>1553</v>
      </c>
    </row>
    <row r="213006" spans="7:7">
      <c r="G213006" t="s">
        <v>1553</v>
      </c>
    </row>
    <row r="213007" spans="7:7">
      <c r="G213007" t="s">
        <v>1569</v>
      </c>
    </row>
    <row r="213008" spans="7:7">
      <c r="G213008" t="s">
        <v>1580</v>
      </c>
    </row>
    <row r="213009" spans="7:7">
      <c r="G213009" t="s">
        <v>1569</v>
      </c>
    </row>
    <row r="213010" spans="7:7">
      <c r="G213010" t="s">
        <v>1569</v>
      </c>
    </row>
    <row r="213011" spans="7:7">
      <c r="G213011" t="s">
        <v>1569</v>
      </c>
    </row>
    <row r="213012" spans="7:7">
      <c r="G213012" t="s">
        <v>1569</v>
      </c>
    </row>
    <row r="213013" spans="7:7">
      <c r="G213013" t="s">
        <v>1569</v>
      </c>
    </row>
    <row r="213014" spans="7:7">
      <c r="G213014" t="s">
        <v>1569</v>
      </c>
    </row>
    <row r="213015" spans="7:7">
      <c r="G213015" t="s">
        <v>1569</v>
      </c>
    </row>
    <row r="213016" spans="7:7">
      <c r="G213016" t="s">
        <v>1569</v>
      </c>
    </row>
    <row r="213017" spans="7:7">
      <c r="G213017" t="s">
        <v>1569</v>
      </c>
    </row>
    <row r="213018" spans="7:7">
      <c r="G213018" t="s">
        <v>1553</v>
      </c>
    </row>
    <row r="213019" spans="7:7">
      <c r="G213019" t="s">
        <v>1569</v>
      </c>
    </row>
    <row r="213020" spans="7:7">
      <c r="G213020" t="s">
        <v>1569</v>
      </c>
    </row>
    <row r="229365" spans="7:7">
      <c r="G229365" t="s">
        <v>1553</v>
      </c>
    </row>
    <row r="229366" spans="7:7">
      <c r="G229366" t="s">
        <v>1553</v>
      </c>
    </row>
    <row r="229367" spans="7:7">
      <c r="G229367" t="s">
        <v>1580</v>
      </c>
    </row>
    <row r="229368" spans="7:7">
      <c r="G229368" t="s">
        <v>1553</v>
      </c>
    </row>
    <row r="229369" spans="7:7">
      <c r="G229369" t="s">
        <v>1580</v>
      </c>
    </row>
    <row r="229370" spans="7:7">
      <c r="G229370" t="s">
        <v>1580</v>
      </c>
    </row>
    <row r="229371" spans="7:7">
      <c r="G229371" t="s">
        <v>1553</v>
      </c>
    </row>
    <row r="229372" spans="7:7">
      <c r="G229372" t="s">
        <v>1553</v>
      </c>
    </row>
    <row r="229373" spans="7:7">
      <c r="G229373" t="s">
        <v>1553</v>
      </c>
    </row>
    <row r="229374" spans="7:7">
      <c r="G229374" t="s">
        <v>1569</v>
      </c>
    </row>
    <row r="229375" spans="7:7">
      <c r="G229375" t="s">
        <v>1569</v>
      </c>
    </row>
    <row r="229376" spans="7:7">
      <c r="G229376" t="s">
        <v>1569</v>
      </c>
    </row>
    <row r="229377" spans="7:7">
      <c r="G229377" t="s">
        <v>1569</v>
      </c>
    </row>
    <row r="229378" spans="7:7">
      <c r="G229378" t="s">
        <v>1569</v>
      </c>
    </row>
    <row r="229379" spans="7:7">
      <c r="G229379" t="s">
        <v>1553</v>
      </c>
    </row>
    <row r="229380" spans="7:7">
      <c r="G229380" t="s">
        <v>1553</v>
      </c>
    </row>
    <row r="229390" spans="7:7">
      <c r="G229390" t="s">
        <v>1553</v>
      </c>
    </row>
    <row r="229391" spans="7:7">
      <c r="G229391" t="s">
        <v>1569</v>
      </c>
    </row>
    <row r="229392" spans="7:7">
      <c r="G229392" t="s">
        <v>1580</v>
      </c>
    </row>
    <row r="229393" spans="7:7">
      <c r="G229393" t="s">
        <v>1569</v>
      </c>
    </row>
    <row r="229394" spans="7:7">
      <c r="G229394" t="s">
        <v>1569</v>
      </c>
    </row>
    <row r="229395" spans="7:7">
      <c r="G229395" t="s">
        <v>1569</v>
      </c>
    </row>
    <row r="229396" spans="7:7">
      <c r="G229396" t="s">
        <v>1569</v>
      </c>
    </row>
    <row r="229397" spans="7:7">
      <c r="G229397" t="s">
        <v>1569</v>
      </c>
    </row>
    <row r="229398" spans="7:7">
      <c r="G229398" t="s">
        <v>1569</v>
      </c>
    </row>
    <row r="229399" spans="7:7">
      <c r="G229399" t="s">
        <v>1569</v>
      </c>
    </row>
    <row r="229400" spans="7:7">
      <c r="G229400" t="s">
        <v>1569</v>
      </c>
    </row>
    <row r="229401" spans="7:7">
      <c r="G229401" t="s">
        <v>1569</v>
      </c>
    </row>
    <row r="229402" spans="7:7">
      <c r="G229402" t="s">
        <v>1553</v>
      </c>
    </row>
    <row r="229403" spans="7:7">
      <c r="G229403" t="s">
        <v>1569</v>
      </c>
    </row>
    <row r="229404" spans="7:7">
      <c r="G229404" t="s">
        <v>1569</v>
      </c>
    </row>
    <row r="245749" spans="7:7">
      <c r="G245749" t="s">
        <v>1553</v>
      </c>
    </row>
    <row r="245750" spans="7:7">
      <c r="G245750" t="s">
        <v>1553</v>
      </c>
    </row>
    <row r="245751" spans="7:7">
      <c r="G245751" t="s">
        <v>1580</v>
      </c>
    </row>
    <row r="245752" spans="7:7">
      <c r="G245752" t="s">
        <v>1553</v>
      </c>
    </row>
    <row r="245753" spans="7:7">
      <c r="G245753" t="s">
        <v>1580</v>
      </c>
    </row>
    <row r="245754" spans="7:7">
      <c r="G245754" t="s">
        <v>1580</v>
      </c>
    </row>
    <row r="245755" spans="7:7">
      <c r="G245755" t="s">
        <v>1553</v>
      </c>
    </row>
    <row r="245756" spans="7:7">
      <c r="G245756" t="s">
        <v>1553</v>
      </c>
    </row>
    <row r="245757" spans="7:7">
      <c r="G245757" t="s">
        <v>1553</v>
      </c>
    </row>
    <row r="245758" spans="7:7">
      <c r="G245758" t="s">
        <v>1569</v>
      </c>
    </row>
    <row r="245759" spans="7:7">
      <c r="G245759" t="s">
        <v>1569</v>
      </c>
    </row>
    <row r="245760" spans="7:7">
      <c r="G245760" t="s">
        <v>1569</v>
      </c>
    </row>
    <row r="245761" spans="7:7">
      <c r="G245761" t="s">
        <v>1569</v>
      </c>
    </row>
    <row r="245762" spans="7:7">
      <c r="G245762" t="s">
        <v>1569</v>
      </c>
    </row>
    <row r="245763" spans="7:7">
      <c r="G245763" t="s">
        <v>1553</v>
      </c>
    </row>
    <row r="245764" spans="7:7">
      <c r="G245764" t="s">
        <v>1553</v>
      </c>
    </row>
    <row r="245774" spans="7:7">
      <c r="G245774" t="s">
        <v>1553</v>
      </c>
    </row>
    <row r="245775" spans="7:7">
      <c r="G245775" t="s">
        <v>1569</v>
      </c>
    </row>
    <row r="245776" spans="7:7">
      <c r="G245776" t="s">
        <v>1580</v>
      </c>
    </row>
    <row r="245777" spans="7:7">
      <c r="G245777" t="s">
        <v>1569</v>
      </c>
    </row>
    <row r="245778" spans="7:7">
      <c r="G245778" t="s">
        <v>1569</v>
      </c>
    </row>
    <row r="245779" spans="7:7">
      <c r="G245779" t="s">
        <v>1569</v>
      </c>
    </row>
    <row r="245780" spans="7:7">
      <c r="G245780" t="s">
        <v>1569</v>
      </c>
    </row>
    <row r="245781" spans="7:7">
      <c r="G245781" t="s">
        <v>1569</v>
      </c>
    </row>
    <row r="245782" spans="7:7">
      <c r="G245782" t="s">
        <v>1569</v>
      </c>
    </row>
    <row r="245783" spans="7:7">
      <c r="G245783" t="s">
        <v>1569</v>
      </c>
    </row>
    <row r="245784" spans="7:7">
      <c r="G245784" t="s">
        <v>1569</v>
      </c>
    </row>
    <row r="245785" spans="7:7">
      <c r="G245785" t="s">
        <v>1569</v>
      </c>
    </row>
    <row r="245786" spans="7:7">
      <c r="G245786" t="s">
        <v>1553</v>
      </c>
    </row>
    <row r="245787" spans="7:7">
      <c r="G245787" t="s">
        <v>1569</v>
      </c>
    </row>
    <row r="245788" spans="7:7">
      <c r="G245788" t="s">
        <v>1569</v>
      </c>
    </row>
    <row r="262133" spans="7:7">
      <c r="G262133" t="s">
        <v>1553</v>
      </c>
    </row>
    <row r="262134" spans="7:7">
      <c r="G262134" t="s">
        <v>1553</v>
      </c>
    </row>
    <row r="262135" spans="7:7">
      <c r="G262135" t="s">
        <v>1580</v>
      </c>
    </row>
    <row r="262136" spans="7:7">
      <c r="G262136" t="s">
        <v>1553</v>
      </c>
    </row>
    <row r="262137" spans="7:7">
      <c r="G262137" t="s">
        <v>1580</v>
      </c>
    </row>
    <row r="262138" spans="7:7">
      <c r="G262138" t="s">
        <v>1580</v>
      </c>
    </row>
    <row r="262139" spans="7:7">
      <c r="G262139" t="s">
        <v>1553</v>
      </c>
    </row>
    <row r="262140" spans="7:7">
      <c r="G262140" t="s">
        <v>1553</v>
      </c>
    </row>
    <row r="262141" spans="7:7">
      <c r="G262141" t="s">
        <v>1553</v>
      </c>
    </row>
    <row r="262142" spans="7:7">
      <c r="G262142" t="s">
        <v>1569</v>
      </c>
    </row>
    <row r="262143" spans="7:7">
      <c r="G262143" t="s">
        <v>1569</v>
      </c>
    </row>
    <row r="262144" spans="7:7">
      <c r="G262144" t="s">
        <v>1569</v>
      </c>
    </row>
    <row r="262145" spans="7:7">
      <c r="G262145" t="s">
        <v>1569</v>
      </c>
    </row>
    <row r="262146" spans="7:7">
      <c r="G262146" t="s">
        <v>1569</v>
      </c>
    </row>
    <row r="262147" spans="7:7">
      <c r="G262147" t="s">
        <v>1553</v>
      </c>
    </row>
    <row r="262148" spans="7:7">
      <c r="G262148" t="s">
        <v>1553</v>
      </c>
    </row>
    <row r="262158" spans="7:7">
      <c r="G262158" t="s">
        <v>1553</v>
      </c>
    </row>
    <row r="262159" spans="7:7">
      <c r="G262159" t="s">
        <v>1569</v>
      </c>
    </row>
    <row r="262160" spans="7:7">
      <c r="G262160" t="s">
        <v>1580</v>
      </c>
    </row>
    <row r="262161" spans="7:7">
      <c r="G262161" t="s">
        <v>1569</v>
      </c>
    </row>
    <row r="262162" spans="7:7">
      <c r="G262162" t="s">
        <v>1569</v>
      </c>
    </row>
    <row r="262163" spans="7:7">
      <c r="G262163" t="s">
        <v>1569</v>
      </c>
    </row>
    <row r="262164" spans="7:7">
      <c r="G262164" t="s">
        <v>1569</v>
      </c>
    </row>
    <row r="262165" spans="7:7">
      <c r="G262165" t="s">
        <v>1569</v>
      </c>
    </row>
    <row r="262166" spans="7:7">
      <c r="G262166" t="s">
        <v>1569</v>
      </c>
    </row>
    <row r="262167" spans="7:7">
      <c r="G262167" t="s">
        <v>1569</v>
      </c>
    </row>
    <row r="262168" spans="7:7">
      <c r="G262168" t="s">
        <v>1569</v>
      </c>
    </row>
    <row r="262169" spans="7:7">
      <c r="G262169" t="s">
        <v>1569</v>
      </c>
    </row>
    <row r="262170" spans="7:7">
      <c r="G262170" t="s">
        <v>1553</v>
      </c>
    </row>
    <row r="262171" spans="7:7">
      <c r="G262171" t="s">
        <v>1569</v>
      </c>
    </row>
    <row r="262172" spans="7:7">
      <c r="G262172" t="s">
        <v>1569</v>
      </c>
    </row>
    <row r="278517" spans="7:7">
      <c r="G278517" t="s">
        <v>1553</v>
      </c>
    </row>
    <row r="278518" spans="7:7">
      <c r="G278518" t="s">
        <v>1553</v>
      </c>
    </row>
    <row r="278519" spans="7:7">
      <c r="G278519" t="s">
        <v>1580</v>
      </c>
    </row>
    <row r="278520" spans="7:7">
      <c r="G278520" t="s">
        <v>1553</v>
      </c>
    </row>
    <row r="278521" spans="7:7">
      <c r="G278521" t="s">
        <v>1580</v>
      </c>
    </row>
    <row r="278522" spans="7:7">
      <c r="G278522" t="s">
        <v>1580</v>
      </c>
    </row>
    <row r="278523" spans="7:7">
      <c r="G278523" t="s">
        <v>1553</v>
      </c>
    </row>
    <row r="278524" spans="7:7">
      <c r="G278524" t="s">
        <v>1553</v>
      </c>
    </row>
    <row r="278525" spans="7:7">
      <c r="G278525" t="s">
        <v>1553</v>
      </c>
    </row>
    <row r="278526" spans="7:7">
      <c r="G278526" t="s">
        <v>1569</v>
      </c>
    </row>
    <row r="278527" spans="7:7">
      <c r="G278527" t="s">
        <v>1569</v>
      </c>
    </row>
    <row r="278528" spans="7:7">
      <c r="G278528" t="s">
        <v>1569</v>
      </c>
    </row>
    <row r="278529" spans="7:7">
      <c r="G278529" t="s">
        <v>1569</v>
      </c>
    </row>
    <row r="278530" spans="7:7">
      <c r="G278530" t="s">
        <v>1569</v>
      </c>
    </row>
    <row r="278531" spans="7:7">
      <c r="G278531" t="s">
        <v>1553</v>
      </c>
    </row>
    <row r="278532" spans="7:7">
      <c r="G278532" t="s">
        <v>1553</v>
      </c>
    </row>
    <row r="278542" spans="7:7">
      <c r="G278542" t="s">
        <v>1553</v>
      </c>
    </row>
    <row r="278543" spans="7:7">
      <c r="G278543" t="s">
        <v>1569</v>
      </c>
    </row>
    <row r="278544" spans="7:7">
      <c r="G278544" t="s">
        <v>1580</v>
      </c>
    </row>
    <row r="278545" spans="7:7">
      <c r="G278545" t="s">
        <v>1569</v>
      </c>
    </row>
    <row r="278546" spans="7:7">
      <c r="G278546" t="s">
        <v>1569</v>
      </c>
    </row>
    <row r="278547" spans="7:7">
      <c r="G278547" t="s">
        <v>1569</v>
      </c>
    </row>
    <row r="278548" spans="7:7">
      <c r="G278548" t="s">
        <v>1569</v>
      </c>
    </row>
    <row r="278549" spans="7:7">
      <c r="G278549" t="s">
        <v>1569</v>
      </c>
    </row>
    <row r="278550" spans="7:7">
      <c r="G278550" t="s">
        <v>1569</v>
      </c>
    </row>
    <row r="278551" spans="7:7">
      <c r="G278551" t="s">
        <v>1569</v>
      </c>
    </row>
    <row r="278552" spans="7:7">
      <c r="G278552" t="s">
        <v>1569</v>
      </c>
    </row>
    <row r="278553" spans="7:7">
      <c r="G278553" t="s">
        <v>1569</v>
      </c>
    </row>
    <row r="278554" spans="7:7">
      <c r="G278554" t="s">
        <v>1553</v>
      </c>
    </row>
    <row r="278555" spans="7:7">
      <c r="G278555" t="s">
        <v>1569</v>
      </c>
    </row>
    <row r="278556" spans="7:7">
      <c r="G278556" t="s">
        <v>1569</v>
      </c>
    </row>
    <row r="294901" spans="7:7">
      <c r="G294901" t="s">
        <v>1553</v>
      </c>
    </row>
    <row r="294902" spans="7:7">
      <c r="G294902" t="s">
        <v>1553</v>
      </c>
    </row>
    <row r="294903" spans="7:7">
      <c r="G294903" t="s">
        <v>1580</v>
      </c>
    </row>
    <row r="294904" spans="7:7">
      <c r="G294904" t="s">
        <v>1553</v>
      </c>
    </row>
    <row r="294905" spans="7:7">
      <c r="G294905" t="s">
        <v>1580</v>
      </c>
    </row>
    <row r="294906" spans="7:7">
      <c r="G294906" t="s">
        <v>1580</v>
      </c>
    </row>
    <row r="294907" spans="7:7">
      <c r="G294907" t="s">
        <v>1553</v>
      </c>
    </row>
    <row r="294908" spans="7:7">
      <c r="G294908" t="s">
        <v>1553</v>
      </c>
    </row>
    <row r="294909" spans="7:7">
      <c r="G294909" t="s">
        <v>1553</v>
      </c>
    </row>
    <row r="294910" spans="7:7">
      <c r="G294910" t="s">
        <v>1569</v>
      </c>
    </row>
    <row r="294911" spans="7:7">
      <c r="G294911" t="s">
        <v>1569</v>
      </c>
    </row>
    <row r="294912" spans="7:7">
      <c r="G294912" t="s">
        <v>1569</v>
      </c>
    </row>
    <row r="294913" spans="7:7">
      <c r="G294913" t="s">
        <v>1569</v>
      </c>
    </row>
    <row r="294914" spans="7:7">
      <c r="G294914" t="s">
        <v>1569</v>
      </c>
    </row>
    <row r="294915" spans="7:7">
      <c r="G294915" t="s">
        <v>1553</v>
      </c>
    </row>
    <row r="294916" spans="7:7">
      <c r="G294916" t="s">
        <v>1553</v>
      </c>
    </row>
    <row r="294926" spans="7:7">
      <c r="G294926" t="s">
        <v>1553</v>
      </c>
    </row>
    <row r="294927" spans="7:7">
      <c r="G294927" t="s">
        <v>1569</v>
      </c>
    </row>
    <row r="294928" spans="7:7">
      <c r="G294928" t="s">
        <v>1580</v>
      </c>
    </row>
    <row r="294929" spans="7:7">
      <c r="G294929" t="s">
        <v>1569</v>
      </c>
    </row>
    <row r="294930" spans="7:7">
      <c r="G294930" t="s">
        <v>1569</v>
      </c>
    </row>
    <row r="294931" spans="7:7">
      <c r="G294931" t="s">
        <v>1569</v>
      </c>
    </row>
    <row r="294932" spans="7:7">
      <c r="G294932" t="s">
        <v>1569</v>
      </c>
    </row>
    <row r="294933" spans="7:7">
      <c r="G294933" t="s">
        <v>1569</v>
      </c>
    </row>
    <row r="294934" spans="7:7">
      <c r="G294934" t="s">
        <v>1569</v>
      </c>
    </row>
    <row r="294935" spans="7:7">
      <c r="G294935" t="s">
        <v>1569</v>
      </c>
    </row>
    <row r="294936" spans="7:7">
      <c r="G294936" t="s">
        <v>1569</v>
      </c>
    </row>
    <row r="294937" spans="7:7">
      <c r="G294937" t="s">
        <v>1569</v>
      </c>
    </row>
    <row r="294938" spans="7:7">
      <c r="G294938" t="s">
        <v>1553</v>
      </c>
    </row>
    <row r="294939" spans="7:7">
      <c r="G294939" t="s">
        <v>1569</v>
      </c>
    </row>
    <row r="294940" spans="7:7">
      <c r="G294940" t="s">
        <v>1569</v>
      </c>
    </row>
    <row r="311285" spans="7:7">
      <c r="G311285" t="s">
        <v>1553</v>
      </c>
    </row>
    <row r="311286" spans="7:7">
      <c r="G311286" t="s">
        <v>1553</v>
      </c>
    </row>
    <row r="311287" spans="7:7">
      <c r="G311287" t="s">
        <v>1580</v>
      </c>
    </row>
    <row r="311288" spans="7:7">
      <c r="G311288" t="s">
        <v>1553</v>
      </c>
    </row>
    <row r="311289" spans="7:7">
      <c r="G311289" t="s">
        <v>1580</v>
      </c>
    </row>
    <row r="311290" spans="7:7">
      <c r="G311290" t="s">
        <v>1580</v>
      </c>
    </row>
    <row r="311291" spans="7:7">
      <c r="G311291" t="s">
        <v>1553</v>
      </c>
    </row>
    <row r="311292" spans="7:7">
      <c r="G311292" t="s">
        <v>1553</v>
      </c>
    </row>
    <row r="311293" spans="7:7">
      <c r="G311293" t="s">
        <v>1553</v>
      </c>
    </row>
    <row r="311294" spans="7:7">
      <c r="G311294" t="s">
        <v>1569</v>
      </c>
    </row>
    <row r="311295" spans="7:7">
      <c r="G311295" t="s">
        <v>1569</v>
      </c>
    </row>
    <row r="311296" spans="7:7">
      <c r="G311296" t="s">
        <v>1569</v>
      </c>
    </row>
    <row r="311297" spans="7:7">
      <c r="G311297" t="s">
        <v>1569</v>
      </c>
    </row>
    <row r="311298" spans="7:7">
      <c r="G311298" t="s">
        <v>1569</v>
      </c>
    </row>
    <row r="311299" spans="7:7">
      <c r="G311299" t="s">
        <v>1553</v>
      </c>
    </row>
    <row r="311300" spans="7:7">
      <c r="G311300" t="s">
        <v>1553</v>
      </c>
    </row>
    <row r="311310" spans="7:7">
      <c r="G311310" t="s">
        <v>1553</v>
      </c>
    </row>
    <row r="311311" spans="7:7">
      <c r="G311311" t="s">
        <v>1569</v>
      </c>
    </row>
    <row r="311312" spans="7:7">
      <c r="G311312" t="s">
        <v>1580</v>
      </c>
    </row>
    <row r="311313" spans="7:7">
      <c r="G311313" t="s">
        <v>1569</v>
      </c>
    </row>
    <row r="311314" spans="7:7">
      <c r="G311314" t="s">
        <v>1569</v>
      </c>
    </row>
    <row r="311315" spans="7:7">
      <c r="G311315" t="s">
        <v>1569</v>
      </c>
    </row>
    <row r="311316" spans="7:7">
      <c r="G311316" t="s">
        <v>1569</v>
      </c>
    </row>
    <row r="311317" spans="7:7">
      <c r="G311317" t="s">
        <v>1569</v>
      </c>
    </row>
    <row r="311318" spans="7:7">
      <c r="G311318" t="s">
        <v>1569</v>
      </c>
    </row>
    <row r="311319" spans="7:7">
      <c r="G311319" t="s">
        <v>1569</v>
      </c>
    </row>
    <row r="311320" spans="7:7">
      <c r="G311320" t="s">
        <v>1569</v>
      </c>
    </row>
    <row r="311321" spans="7:7">
      <c r="G311321" t="s">
        <v>1569</v>
      </c>
    </row>
    <row r="311322" spans="7:7">
      <c r="G311322" t="s">
        <v>1553</v>
      </c>
    </row>
    <row r="311323" spans="7:7">
      <c r="G311323" t="s">
        <v>1569</v>
      </c>
    </row>
    <row r="311324" spans="7:7">
      <c r="G311324" t="s">
        <v>1569</v>
      </c>
    </row>
    <row r="327669" spans="7:7">
      <c r="G327669" t="s">
        <v>1553</v>
      </c>
    </row>
    <row r="327670" spans="7:7">
      <c r="G327670" t="s">
        <v>1553</v>
      </c>
    </row>
    <row r="327671" spans="7:7">
      <c r="G327671" t="s">
        <v>1580</v>
      </c>
    </row>
    <row r="327672" spans="7:7">
      <c r="G327672" t="s">
        <v>1553</v>
      </c>
    </row>
    <row r="327673" spans="7:7">
      <c r="G327673" t="s">
        <v>1580</v>
      </c>
    </row>
    <row r="327674" spans="7:7">
      <c r="G327674" t="s">
        <v>1580</v>
      </c>
    </row>
    <row r="327675" spans="7:7">
      <c r="G327675" t="s">
        <v>1553</v>
      </c>
    </row>
    <row r="327676" spans="7:7">
      <c r="G327676" t="s">
        <v>1553</v>
      </c>
    </row>
    <row r="327677" spans="7:7">
      <c r="G327677" t="s">
        <v>1553</v>
      </c>
    </row>
    <row r="327678" spans="7:7">
      <c r="G327678" t="s">
        <v>1569</v>
      </c>
    </row>
    <row r="327679" spans="7:7">
      <c r="G327679" t="s">
        <v>1569</v>
      </c>
    </row>
    <row r="327680" spans="7:7">
      <c r="G327680" t="s">
        <v>1569</v>
      </c>
    </row>
    <row r="327681" spans="7:7">
      <c r="G327681" t="s">
        <v>1569</v>
      </c>
    </row>
    <row r="327682" spans="7:7">
      <c r="G327682" t="s">
        <v>1569</v>
      </c>
    </row>
    <row r="327683" spans="7:7">
      <c r="G327683" t="s">
        <v>1553</v>
      </c>
    </row>
    <row r="327684" spans="7:7">
      <c r="G327684" t="s">
        <v>1553</v>
      </c>
    </row>
    <row r="327694" spans="7:7">
      <c r="G327694" t="s">
        <v>1553</v>
      </c>
    </row>
    <row r="327695" spans="7:7">
      <c r="G327695" t="s">
        <v>1569</v>
      </c>
    </row>
    <row r="327696" spans="7:7">
      <c r="G327696" t="s">
        <v>1580</v>
      </c>
    </row>
    <row r="327697" spans="7:7">
      <c r="G327697" t="s">
        <v>1569</v>
      </c>
    </row>
    <row r="327698" spans="7:7">
      <c r="G327698" t="s">
        <v>1569</v>
      </c>
    </row>
    <row r="327699" spans="7:7">
      <c r="G327699" t="s">
        <v>1569</v>
      </c>
    </row>
    <row r="327700" spans="7:7">
      <c r="G327700" t="s">
        <v>1569</v>
      </c>
    </row>
    <row r="327701" spans="7:7">
      <c r="G327701" t="s">
        <v>1569</v>
      </c>
    </row>
    <row r="327702" spans="7:7">
      <c r="G327702" t="s">
        <v>1569</v>
      </c>
    </row>
    <row r="327703" spans="7:7">
      <c r="G327703" t="s">
        <v>1569</v>
      </c>
    </row>
    <row r="327704" spans="7:7">
      <c r="G327704" t="s">
        <v>1569</v>
      </c>
    </row>
    <row r="327705" spans="7:7">
      <c r="G327705" t="s">
        <v>1569</v>
      </c>
    </row>
    <row r="327706" spans="7:7">
      <c r="G327706" t="s">
        <v>1553</v>
      </c>
    </row>
    <row r="327707" spans="7:7">
      <c r="G327707" t="s">
        <v>1569</v>
      </c>
    </row>
    <row r="327708" spans="7:7">
      <c r="G327708" t="s">
        <v>1569</v>
      </c>
    </row>
    <row r="344053" spans="7:7">
      <c r="G344053" t="s">
        <v>1553</v>
      </c>
    </row>
    <row r="344054" spans="7:7">
      <c r="G344054" t="s">
        <v>1553</v>
      </c>
    </row>
    <row r="344055" spans="7:7">
      <c r="G344055" t="s">
        <v>1580</v>
      </c>
    </row>
    <row r="344056" spans="7:7">
      <c r="G344056" t="s">
        <v>1553</v>
      </c>
    </row>
    <row r="344057" spans="7:7">
      <c r="G344057" t="s">
        <v>1580</v>
      </c>
    </row>
    <row r="344058" spans="7:7">
      <c r="G344058" t="s">
        <v>1580</v>
      </c>
    </row>
    <row r="344059" spans="7:7">
      <c r="G344059" t="s">
        <v>1553</v>
      </c>
    </row>
    <row r="344060" spans="7:7">
      <c r="G344060" t="s">
        <v>1553</v>
      </c>
    </row>
    <row r="344061" spans="7:7">
      <c r="G344061" t="s">
        <v>1553</v>
      </c>
    </row>
    <row r="344062" spans="7:7">
      <c r="G344062" t="s">
        <v>1569</v>
      </c>
    </row>
    <row r="344063" spans="7:7">
      <c r="G344063" t="s">
        <v>1569</v>
      </c>
    </row>
    <row r="344064" spans="7:7">
      <c r="G344064" t="s">
        <v>1569</v>
      </c>
    </row>
    <row r="344065" spans="7:7">
      <c r="G344065" t="s">
        <v>1569</v>
      </c>
    </row>
    <row r="344066" spans="7:7">
      <c r="G344066" t="s">
        <v>1569</v>
      </c>
    </row>
    <row r="344067" spans="7:7">
      <c r="G344067" t="s">
        <v>1553</v>
      </c>
    </row>
    <row r="344068" spans="7:7">
      <c r="G344068" t="s">
        <v>1553</v>
      </c>
    </row>
    <row r="344078" spans="7:7">
      <c r="G344078" t="s">
        <v>1553</v>
      </c>
    </row>
    <row r="344079" spans="7:7">
      <c r="G344079" t="s">
        <v>1569</v>
      </c>
    </row>
    <row r="344080" spans="7:7">
      <c r="G344080" t="s">
        <v>1580</v>
      </c>
    </row>
    <row r="344081" spans="7:7">
      <c r="G344081" t="s">
        <v>1569</v>
      </c>
    </row>
    <row r="344082" spans="7:7">
      <c r="G344082" t="s">
        <v>1569</v>
      </c>
    </row>
    <row r="344083" spans="7:7">
      <c r="G344083" t="s">
        <v>1569</v>
      </c>
    </row>
    <row r="344084" spans="7:7">
      <c r="G344084" t="s">
        <v>1569</v>
      </c>
    </row>
    <row r="344085" spans="7:7">
      <c r="G344085" t="s">
        <v>1569</v>
      </c>
    </row>
    <row r="344086" spans="7:7">
      <c r="G344086" t="s">
        <v>1569</v>
      </c>
    </row>
    <row r="344087" spans="7:7">
      <c r="G344087" t="s">
        <v>1569</v>
      </c>
    </row>
    <row r="344088" spans="7:7">
      <c r="G344088" t="s">
        <v>1569</v>
      </c>
    </row>
    <row r="344089" spans="7:7">
      <c r="G344089" t="s">
        <v>1569</v>
      </c>
    </row>
    <row r="344090" spans="7:7">
      <c r="G344090" t="s">
        <v>1553</v>
      </c>
    </row>
    <row r="344091" spans="7:7">
      <c r="G344091" t="s">
        <v>1569</v>
      </c>
    </row>
    <row r="344092" spans="7:7">
      <c r="G344092" t="s">
        <v>1569</v>
      </c>
    </row>
    <row r="360437" spans="7:7">
      <c r="G360437" t="s">
        <v>1553</v>
      </c>
    </row>
    <row r="360438" spans="7:7">
      <c r="G360438" t="s">
        <v>1553</v>
      </c>
    </row>
    <row r="360439" spans="7:7">
      <c r="G360439" t="s">
        <v>1580</v>
      </c>
    </row>
    <row r="360440" spans="7:7">
      <c r="G360440" t="s">
        <v>1553</v>
      </c>
    </row>
    <row r="360441" spans="7:7">
      <c r="G360441" t="s">
        <v>1580</v>
      </c>
    </row>
    <row r="360442" spans="7:7">
      <c r="G360442" t="s">
        <v>1580</v>
      </c>
    </row>
    <row r="360443" spans="7:7">
      <c r="G360443" t="s">
        <v>1553</v>
      </c>
    </row>
    <row r="360444" spans="7:7">
      <c r="G360444" t="s">
        <v>1553</v>
      </c>
    </row>
    <row r="360445" spans="7:7">
      <c r="G360445" t="s">
        <v>1553</v>
      </c>
    </row>
    <row r="360446" spans="7:7">
      <c r="G360446" t="s">
        <v>1569</v>
      </c>
    </row>
    <row r="360447" spans="7:7">
      <c r="G360447" t="s">
        <v>1569</v>
      </c>
    </row>
    <row r="360448" spans="7:7">
      <c r="G360448" t="s">
        <v>1569</v>
      </c>
    </row>
    <row r="360449" spans="7:7">
      <c r="G360449" t="s">
        <v>1569</v>
      </c>
    </row>
    <row r="360450" spans="7:7">
      <c r="G360450" t="s">
        <v>1569</v>
      </c>
    </row>
    <row r="360451" spans="7:7">
      <c r="G360451" t="s">
        <v>1553</v>
      </c>
    </row>
    <row r="360452" spans="7:7">
      <c r="G360452" t="s">
        <v>1553</v>
      </c>
    </row>
    <row r="360462" spans="7:7">
      <c r="G360462" t="s">
        <v>1553</v>
      </c>
    </row>
    <row r="360463" spans="7:7">
      <c r="G360463" t="s">
        <v>1569</v>
      </c>
    </row>
    <row r="360464" spans="7:7">
      <c r="G360464" t="s">
        <v>1580</v>
      </c>
    </row>
    <row r="360465" spans="7:7">
      <c r="G360465" t="s">
        <v>1569</v>
      </c>
    </row>
    <row r="360466" spans="7:7">
      <c r="G360466" t="s">
        <v>1569</v>
      </c>
    </row>
    <row r="360467" spans="7:7">
      <c r="G360467" t="s">
        <v>1569</v>
      </c>
    </row>
    <row r="360468" spans="7:7">
      <c r="G360468" t="s">
        <v>1569</v>
      </c>
    </row>
    <row r="360469" spans="7:7">
      <c r="G360469" t="s">
        <v>1569</v>
      </c>
    </row>
    <row r="360470" spans="7:7">
      <c r="G360470" t="s">
        <v>1569</v>
      </c>
    </row>
    <row r="360471" spans="7:7">
      <c r="G360471" t="s">
        <v>1569</v>
      </c>
    </row>
    <row r="360472" spans="7:7">
      <c r="G360472" t="s">
        <v>1569</v>
      </c>
    </row>
    <row r="360473" spans="7:7">
      <c r="G360473" t="s">
        <v>1569</v>
      </c>
    </row>
    <row r="360474" spans="7:7">
      <c r="G360474" t="s">
        <v>1553</v>
      </c>
    </row>
    <row r="360475" spans="7:7">
      <c r="G360475" t="s">
        <v>1569</v>
      </c>
    </row>
    <row r="360476" spans="7:7">
      <c r="G360476" t="s">
        <v>1569</v>
      </c>
    </row>
    <row r="376821" spans="7:7">
      <c r="G376821" t="s">
        <v>1553</v>
      </c>
    </row>
    <row r="376822" spans="7:7">
      <c r="G376822" t="s">
        <v>1553</v>
      </c>
    </row>
    <row r="376823" spans="7:7">
      <c r="G376823" t="s">
        <v>1580</v>
      </c>
    </row>
    <row r="376824" spans="7:7">
      <c r="G376824" t="s">
        <v>1553</v>
      </c>
    </row>
    <row r="376825" spans="7:7">
      <c r="G376825" t="s">
        <v>1580</v>
      </c>
    </row>
    <row r="376826" spans="7:7">
      <c r="G376826" t="s">
        <v>1580</v>
      </c>
    </row>
    <row r="376827" spans="7:7">
      <c r="G376827" t="s">
        <v>1553</v>
      </c>
    </row>
    <row r="376828" spans="7:7">
      <c r="G376828" t="s">
        <v>1553</v>
      </c>
    </row>
    <row r="376829" spans="7:7">
      <c r="G376829" t="s">
        <v>1553</v>
      </c>
    </row>
    <row r="376830" spans="7:7">
      <c r="G376830" t="s">
        <v>1569</v>
      </c>
    </row>
    <row r="376831" spans="7:7">
      <c r="G376831" t="s">
        <v>1569</v>
      </c>
    </row>
    <row r="376832" spans="7:7">
      <c r="G376832" t="s">
        <v>1569</v>
      </c>
    </row>
    <row r="376833" spans="7:7">
      <c r="G376833" t="s">
        <v>1569</v>
      </c>
    </row>
    <row r="376834" spans="7:7">
      <c r="G376834" t="s">
        <v>1569</v>
      </c>
    </row>
    <row r="376835" spans="7:7">
      <c r="G376835" t="s">
        <v>1553</v>
      </c>
    </row>
    <row r="376836" spans="7:7">
      <c r="G376836" t="s">
        <v>1553</v>
      </c>
    </row>
    <row r="376846" spans="7:7">
      <c r="G376846" t="s">
        <v>1553</v>
      </c>
    </row>
    <row r="376847" spans="7:7">
      <c r="G376847" t="s">
        <v>1569</v>
      </c>
    </row>
    <row r="376848" spans="7:7">
      <c r="G376848" t="s">
        <v>1580</v>
      </c>
    </row>
    <row r="376849" spans="7:7">
      <c r="G376849" t="s">
        <v>1569</v>
      </c>
    </row>
    <row r="376850" spans="7:7">
      <c r="G376850" t="s">
        <v>1569</v>
      </c>
    </row>
    <row r="376851" spans="7:7">
      <c r="G376851" t="s">
        <v>1569</v>
      </c>
    </row>
    <row r="376852" spans="7:7">
      <c r="G376852" t="s">
        <v>1569</v>
      </c>
    </row>
    <row r="376853" spans="7:7">
      <c r="G376853" t="s">
        <v>1569</v>
      </c>
    </row>
    <row r="376854" spans="7:7">
      <c r="G376854" t="s">
        <v>1569</v>
      </c>
    </row>
    <row r="376855" spans="7:7">
      <c r="G376855" t="s">
        <v>1569</v>
      </c>
    </row>
    <row r="376856" spans="7:7">
      <c r="G376856" t="s">
        <v>1569</v>
      </c>
    </row>
    <row r="376857" spans="7:7">
      <c r="G376857" t="s">
        <v>1569</v>
      </c>
    </row>
    <row r="376858" spans="7:7">
      <c r="G376858" t="s">
        <v>1553</v>
      </c>
    </row>
    <row r="376859" spans="7:7">
      <c r="G376859" t="s">
        <v>1569</v>
      </c>
    </row>
    <row r="376860" spans="7:7">
      <c r="G376860" t="s">
        <v>1569</v>
      </c>
    </row>
    <row r="393205" spans="7:7">
      <c r="G393205" t="s">
        <v>1553</v>
      </c>
    </row>
    <row r="393206" spans="7:7">
      <c r="G393206" t="s">
        <v>1553</v>
      </c>
    </row>
    <row r="393207" spans="7:7">
      <c r="G393207" t="s">
        <v>1580</v>
      </c>
    </row>
    <row r="393208" spans="7:7">
      <c r="G393208" t="s">
        <v>1553</v>
      </c>
    </row>
    <row r="393209" spans="7:7">
      <c r="G393209" t="s">
        <v>1580</v>
      </c>
    </row>
    <row r="393210" spans="7:7">
      <c r="G393210" t="s">
        <v>1580</v>
      </c>
    </row>
    <row r="393211" spans="7:7">
      <c r="G393211" t="s">
        <v>1553</v>
      </c>
    </row>
    <row r="393212" spans="7:7">
      <c r="G393212" t="s">
        <v>1553</v>
      </c>
    </row>
    <row r="393213" spans="7:7">
      <c r="G393213" t="s">
        <v>1553</v>
      </c>
    </row>
    <row r="393214" spans="7:7">
      <c r="G393214" t="s">
        <v>1569</v>
      </c>
    </row>
    <row r="393215" spans="7:7">
      <c r="G393215" t="s">
        <v>1569</v>
      </c>
    </row>
    <row r="393216" spans="7:7">
      <c r="G393216" t="s">
        <v>1569</v>
      </c>
    </row>
    <row r="393217" spans="7:7">
      <c r="G393217" t="s">
        <v>1569</v>
      </c>
    </row>
    <row r="393218" spans="7:7">
      <c r="G393218" t="s">
        <v>1569</v>
      </c>
    </row>
    <row r="393219" spans="7:7">
      <c r="G393219" t="s">
        <v>1553</v>
      </c>
    </row>
    <row r="393220" spans="7:7">
      <c r="G393220" t="s">
        <v>1553</v>
      </c>
    </row>
    <row r="393230" spans="7:7">
      <c r="G393230" t="s">
        <v>1553</v>
      </c>
    </row>
    <row r="393231" spans="7:7">
      <c r="G393231" t="s">
        <v>1569</v>
      </c>
    </row>
    <row r="393232" spans="7:7">
      <c r="G393232" t="s">
        <v>1580</v>
      </c>
    </row>
    <row r="393233" spans="7:7">
      <c r="G393233" t="s">
        <v>1569</v>
      </c>
    </row>
    <row r="393234" spans="7:7">
      <c r="G393234" t="s">
        <v>1569</v>
      </c>
    </row>
    <row r="393235" spans="7:7">
      <c r="G393235" t="s">
        <v>1569</v>
      </c>
    </row>
    <row r="393236" spans="7:7">
      <c r="G393236" t="s">
        <v>1569</v>
      </c>
    </row>
    <row r="393237" spans="7:7">
      <c r="G393237" t="s">
        <v>1569</v>
      </c>
    </row>
    <row r="393238" spans="7:7">
      <c r="G393238" t="s">
        <v>1569</v>
      </c>
    </row>
    <row r="393239" spans="7:7">
      <c r="G393239" t="s">
        <v>1569</v>
      </c>
    </row>
    <row r="393240" spans="7:7">
      <c r="G393240" t="s">
        <v>1569</v>
      </c>
    </row>
    <row r="393241" spans="7:7">
      <c r="G393241" t="s">
        <v>1569</v>
      </c>
    </row>
    <row r="393242" spans="7:7">
      <c r="G393242" t="s">
        <v>1553</v>
      </c>
    </row>
    <row r="393243" spans="7:7">
      <c r="G393243" t="s">
        <v>1569</v>
      </c>
    </row>
    <row r="393244" spans="7:7">
      <c r="G393244" t="s">
        <v>1569</v>
      </c>
    </row>
    <row r="409589" spans="7:7">
      <c r="G409589" t="s">
        <v>1553</v>
      </c>
    </row>
    <row r="409590" spans="7:7">
      <c r="G409590" t="s">
        <v>1553</v>
      </c>
    </row>
    <row r="409591" spans="7:7">
      <c r="G409591" t="s">
        <v>1580</v>
      </c>
    </row>
    <row r="409592" spans="7:7">
      <c r="G409592" t="s">
        <v>1553</v>
      </c>
    </row>
    <row r="409593" spans="7:7">
      <c r="G409593" t="s">
        <v>1580</v>
      </c>
    </row>
    <row r="409594" spans="7:7">
      <c r="G409594" t="s">
        <v>1580</v>
      </c>
    </row>
    <row r="409595" spans="7:7">
      <c r="G409595" t="s">
        <v>1553</v>
      </c>
    </row>
    <row r="409596" spans="7:7">
      <c r="G409596" t="s">
        <v>1553</v>
      </c>
    </row>
    <row r="409597" spans="7:7">
      <c r="G409597" t="s">
        <v>1553</v>
      </c>
    </row>
    <row r="409598" spans="7:7">
      <c r="G409598" t="s">
        <v>1569</v>
      </c>
    </row>
    <row r="409599" spans="7:7">
      <c r="G409599" t="s">
        <v>1569</v>
      </c>
    </row>
    <row r="409600" spans="7:7">
      <c r="G409600" t="s">
        <v>1569</v>
      </c>
    </row>
    <row r="409601" spans="7:7">
      <c r="G409601" t="s">
        <v>1569</v>
      </c>
    </row>
    <row r="409602" spans="7:7">
      <c r="G409602" t="s">
        <v>1569</v>
      </c>
    </row>
    <row r="409603" spans="7:7">
      <c r="G409603" t="s">
        <v>1553</v>
      </c>
    </row>
    <row r="409604" spans="7:7">
      <c r="G409604" t="s">
        <v>1553</v>
      </c>
    </row>
    <row r="409614" spans="7:7">
      <c r="G409614" t="s">
        <v>1553</v>
      </c>
    </row>
    <row r="409615" spans="7:7">
      <c r="G409615" t="s">
        <v>1569</v>
      </c>
    </row>
    <row r="409616" spans="7:7">
      <c r="G409616" t="s">
        <v>1580</v>
      </c>
    </row>
    <row r="409617" spans="7:7">
      <c r="G409617" t="s">
        <v>1569</v>
      </c>
    </row>
    <row r="409618" spans="7:7">
      <c r="G409618" t="s">
        <v>1569</v>
      </c>
    </row>
    <row r="409619" spans="7:7">
      <c r="G409619" t="s">
        <v>1569</v>
      </c>
    </row>
    <row r="409620" spans="7:7">
      <c r="G409620" t="s">
        <v>1569</v>
      </c>
    </row>
    <row r="409621" spans="7:7">
      <c r="G409621" t="s">
        <v>1569</v>
      </c>
    </row>
    <row r="409622" spans="7:7">
      <c r="G409622" t="s">
        <v>1569</v>
      </c>
    </row>
    <row r="409623" spans="7:7">
      <c r="G409623" t="s">
        <v>1569</v>
      </c>
    </row>
    <row r="409624" spans="7:7">
      <c r="G409624" t="s">
        <v>1569</v>
      </c>
    </row>
    <row r="409625" spans="7:7">
      <c r="G409625" t="s">
        <v>1569</v>
      </c>
    </row>
    <row r="409626" spans="7:7">
      <c r="G409626" t="s">
        <v>1553</v>
      </c>
    </row>
    <row r="409627" spans="7:7">
      <c r="G409627" t="s">
        <v>1569</v>
      </c>
    </row>
    <row r="409628" spans="7:7">
      <c r="G409628" t="s">
        <v>1569</v>
      </c>
    </row>
    <row r="425973" spans="7:7">
      <c r="G425973" t="s">
        <v>1553</v>
      </c>
    </row>
    <row r="425974" spans="7:7">
      <c r="G425974" t="s">
        <v>1553</v>
      </c>
    </row>
    <row r="425975" spans="7:7">
      <c r="G425975" t="s">
        <v>1580</v>
      </c>
    </row>
    <row r="425976" spans="7:7">
      <c r="G425976" t="s">
        <v>1553</v>
      </c>
    </row>
    <row r="425977" spans="7:7">
      <c r="G425977" t="s">
        <v>1580</v>
      </c>
    </row>
    <row r="425978" spans="7:7">
      <c r="G425978" t="s">
        <v>1580</v>
      </c>
    </row>
    <row r="425979" spans="7:7">
      <c r="G425979" t="s">
        <v>1553</v>
      </c>
    </row>
    <row r="425980" spans="7:7">
      <c r="G425980" t="s">
        <v>1553</v>
      </c>
    </row>
    <row r="425981" spans="7:7">
      <c r="G425981" t="s">
        <v>1553</v>
      </c>
    </row>
    <row r="425982" spans="7:7">
      <c r="G425982" t="s">
        <v>1569</v>
      </c>
    </row>
    <row r="425983" spans="7:7">
      <c r="G425983" t="s">
        <v>1569</v>
      </c>
    </row>
    <row r="425984" spans="7:7">
      <c r="G425984" t="s">
        <v>1569</v>
      </c>
    </row>
    <row r="425985" spans="7:7">
      <c r="G425985" t="s">
        <v>1569</v>
      </c>
    </row>
    <row r="425986" spans="7:7">
      <c r="G425986" t="s">
        <v>1569</v>
      </c>
    </row>
    <row r="425987" spans="7:7">
      <c r="G425987" t="s">
        <v>1553</v>
      </c>
    </row>
    <row r="425988" spans="7:7">
      <c r="G425988" t="s">
        <v>1553</v>
      </c>
    </row>
    <row r="425998" spans="7:7">
      <c r="G425998" t="s">
        <v>1553</v>
      </c>
    </row>
    <row r="425999" spans="7:7">
      <c r="G425999" t="s">
        <v>1569</v>
      </c>
    </row>
    <row r="426000" spans="7:7">
      <c r="G426000" t="s">
        <v>1580</v>
      </c>
    </row>
    <row r="426001" spans="7:7">
      <c r="G426001" t="s">
        <v>1569</v>
      </c>
    </row>
    <row r="426002" spans="7:7">
      <c r="G426002" t="s">
        <v>1569</v>
      </c>
    </row>
    <row r="426003" spans="7:7">
      <c r="G426003" t="s">
        <v>1569</v>
      </c>
    </row>
    <row r="426004" spans="7:7">
      <c r="G426004" t="s">
        <v>1569</v>
      </c>
    </row>
    <row r="426005" spans="7:7">
      <c r="G426005" t="s">
        <v>1569</v>
      </c>
    </row>
    <row r="426006" spans="7:7">
      <c r="G426006" t="s">
        <v>1569</v>
      </c>
    </row>
    <row r="426007" spans="7:7">
      <c r="G426007" t="s">
        <v>1569</v>
      </c>
    </row>
    <row r="426008" spans="7:7">
      <c r="G426008" t="s">
        <v>1569</v>
      </c>
    </row>
    <row r="426009" spans="7:7">
      <c r="G426009" t="s">
        <v>1569</v>
      </c>
    </row>
    <row r="426010" spans="7:7">
      <c r="G426010" t="s">
        <v>1553</v>
      </c>
    </row>
    <row r="426011" spans="7:7">
      <c r="G426011" t="s">
        <v>1569</v>
      </c>
    </row>
    <row r="426012" spans="7:7">
      <c r="G426012" t="s">
        <v>1569</v>
      </c>
    </row>
    <row r="442357" spans="7:7">
      <c r="G442357" t="s">
        <v>1553</v>
      </c>
    </row>
    <row r="442358" spans="7:7">
      <c r="G442358" t="s">
        <v>1553</v>
      </c>
    </row>
    <row r="442359" spans="7:7">
      <c r="G442359" t="s">
        <v>1580</v>
      </c>
    </row>
    <row r="442360" spans="7:7">
      <c r="G442360" t="s">
        <v>1553</v>
      </c>
    </row>
    <row r="442361" spans="7:7">
      <c r="G442361" t="s">
        <v>1580</v>
      </c>
    </row>
    <row r="442362" spans="7:7">
      <c r="G442362" t="s">
        <v>1580</v>
      </c>
    </row>
    <row r="442363" spans="7:7">
      <c r="G442363" t="s">
        <v>1553</v>
      </c>
    </row>
    <row r="442364" spans="7:7">
      <c r="G442364" t="s">
        <v>1553</v>
      </c>
    </row>
    <row r="442365" spans="7:7">
      <c r="G442365" t="s">
        <v>1553</v>
      </c>
    </row>
    <row r="442366" spans="7:7">
      <c r="G442366" t="s">
        <v>1569</v>
      </c>
    </row>
    <row r="442367" spans="7:7">
      <c r="G442367" t="s">
        <v>1569</v>
      </c>
    </row>
    <row r="442368" spans="7:7">
      <c r="G442368" t="s">
        <v>1569</v>
      </c>
    </row>
    <row r="442369" spans="7:7">
      <c r="G442369" t="s">
        <v>1569</v>
      </c>
    </row>
    <row r="442370" spans="7:7">
      <c r="G442370" t="s">
        <v>1569</v>
      </c>
    </row>
    <row r="442371" spans="7:7">
      <c r="G442371" t="s">
        <v>1553</v>
      </c>
    </row>
    <row r="442372" spans="7:7">
      <c r="G442372" t="s">
        <v>1553</v>
      </c>
    </row>
    <row r="442382" spans="7:7">
      <c r="G442382" t="s">
        <v>1553</v>
      </c>
    </row>
    <row r="442383" spans="7:7">
      <c r="G442383" t="s">
        <v>1569</v>
      </c>
    </row>
    <row r="442384" spans="7:7">
      <c r="G442384" t="s">
        <v>1580</v>
      </c>
    </row>
    <row r="442385" spans="7:7">
      <c r="G442385" t="s">
        <v>1569</v>
      </c>
    </row>
    <row r="442386" spans="7:7">
      <c r="G442386" t="s">
        <v>1569</v>
      </c>
    </row>
    <row r="442387" spans="7:7">
      <c r="G442387" t="s">
        <v>1569</v>
      </c>
    </row>
    <row r="442388" spans="7:7">
      <c r="G442388" t="s">
        <v>1569</v>
      </c>
    </row>
    <row r="442389" spans="7:7">
      <c r="G442389" t="s">
        <v>1569</v>
      </c>
    </row>
    <row r="442390" spans="7:7">
      <c r="G442390" t="s">
        <v>1569</v>
      </c>
    </row>
    <row r="442391" spans="7:7">
      <c r="G442391" t="s">
        <v>1569</v>
      </c>
    </row>
    <row r="442392" spans="7:7">
      <c r="G442392" t="s">
        <v>1569</v>
      </c>
    </row>
    <row r="442393" spans="7:7">
      <c r="G442393" t="s">
        <v>1569</v>
      </c>
    </row>
    <row r="442394" spans="7:7">
      <c r="G442394" t="s">
        <v>1553</v>
      </c>
    </row>
    <row r="442395" spans="7:7">
      <c r="G442395" t="s">
        <v>1569</v>
      </c>
    </row>
    <row r="442396" spans="7:7">
      <c r="G442396" t="s">
        <v>1569</v>
      </c>
    </row>
    <row r="458741" spans="7:7">
      <c r="G458741" t="s">
        <v>1553</v>
      </c>
    </row>
    <row r="458742" spans="7:7">
      <c r="G458742" t="s">
        <v>1553</v>
      </c>
    </row>
    <row r="458743" spans="7:7">
      <c r="G458743" t="s">
        <v>1580</v>
      </c>
    </row>
    <row r="458744" spans="7:7">
      <c r="G458744" t="s">
        <v>1553</v>
      </c>
    </row>
    <row r="458745" spans="7:7">
      <c r="G458745" t="s">
        <v>1580</v>
      </c>
    </row>
    <row r="458746" spans="7:7">
      <c r="G458746" t="s">
        <v>1580</v>
      </c>
    </row>
    <row r="458747" spans="7:7">
      <c r="G458747" t="s">
        <v>1553</v>
      </c>
    </row>
    <row r="458748" spans="7:7">
      <c r="G458748" t="s">
        <v>1553</v>
      </c>
    </row>
    <row r="458749" spans="7:7">
      <c r="G458749" t="s">
        <v>1553</v>
      </c>
    </row>
    <row r="458750" spans="7:7">
      <c r="G458750" t="s">
        <v>1569</v>
      </c>
    </row>
    <row r="458751" spans="7:7">
      <c r="G458751" t="s">
        <v>1569</v>
      </c>
    </row>
    <row r="458752" spans="7:7">
      <c r="G458752" t="s">
        <v>1569</v>
      </c>
    </row>
    <row r="458753" spans="7:7">
      <c r="G458753" t="s">
        <v>1569</v>
      </c>
    </row>
    <row r="458754" spans="7:7">
      <c r="G458754" t="s">
        <v>1569</v>
      </c>
    </row>
    <row r="458755" spans="7:7">
      <c r="G458755" t="s">
        <v>1553</v>
      </c>
    </row>
    <row r="458756" spans="7:7">
      <c r="G458756" t="s">
        <v>1553</v>
      </c>
    </row>
    <row r="458766" spans="7:7">
      <c r="G458766" t="s">
        <v>1553</v>
      </c>
    </row>
    <row r="458767" spans="7:7">
      <c r="G458767" t="s">
        <v>1569</v>
      </c>
    </row>
    <row r="458768" spans="7:7">
      <c r="G458768" t="s">
        <v>1580</v>
      </c>
    </row>
    <row r="458769" spans="7:7">
      <c r="G458769" t="s">
        <v>1569</v>
      </c>
    </row>
    <row r="458770" spans="7:7">
      <c r="G458770" t="s">
        <v>1569</v>
      </c>
    </row>
    <row r="458771" spans="7:7">
      <c r="G458771" t="s">
        <v>1569</v>
      </c>
    </row>
    <row r="458772" spans="7:7">
      <c r="G458772" t="s">
        <v>1569</v>
      </c>
    </row>
    <row r="458773" spans="7:7">
      <c r="G458773" t="s">
        <v>1569</v>
      </c>
    </row>
    <row r="458774" spans="7:7">
      <c r="G458774" t="s">
        <v>1569</v>
      </c>
    </row>
    <row r="458775" spans="7:7">
      <c r="G458775" t="s">
        <v>1569</v>
      </c>
    </row>
    <row r="458776" spans="7:7">
      <c r="G458776" t="s">
        <v>1569</v>
      </c>
    </row>
    <row r="458777" spans="7:7">
      <c r="G458777" t="s">
        <v>1569</v>
      </c>
    </row>
    <row r="458778" spans="7:7">
      <c r="G458778" t="s">
        <v>1553</v>
      </c>
    </row>
    <row r="458779" spans="7:7">
      <c r="G458779" t="s">
        <v>1569</v>
      </c>
    </row>
    <row r="458780" spans="7:7">
      <c r="G458780" t="s">
        <v>1569</v>
      </c>
    </row>
    <row r="475125" spans="7:7">
      <c r="G475125" t="s">
        <v>1553</v>
      </c>
    </row>
    <row r="475126" spans="7:7">
      <c r="G475126" t="s">
        <v>1553</v>
      </c>
    </row>
    <row r="475127" spans="7:7">
      <c r="G475127" t="s">
        <v>1580</v>
      </c>
    </row>
    <row r="475128" spans="7:7">
      <c r="G475128" t="s">
        <v>1553</v>
      </c>
    </row>
    <row r="475129" spans="7:7">
      <c r="G475129" t="s">
        <v>1580</v>
      </c>
    </row>
    <row r="475130" spans="7:7">
      <c r="G475130" t="s">
        <v>1580</v>
      </c>
    </row>
    <row r="475131" spans="7:7">
      <c r="G475131" t="s">
        <v>1553</v>
      </c>
    </row>
    <row r="475132" spans="7:7">
      <c r="G475132" t="s">
        <v>1553</v>
      </c>
    </row>
    <row r="475133" spans="7:7">
      <c r="G475133" t="s">
        <v>1553</v>
      </c>
    </row>
    <row r="475134" spans="7:7">
      <c r="G475134" t="s">
        <v>1569</v>
      </c>
    </row>
    <row r="475135" spans="7:7">
      <c r="G475135" t="s">
        <v>1569</v>
      </c>
    </row>
    <row r="475136" spans="7:7">
      <c r="G475136" t="s">
        <v>1569</v>
      </c>
    </row>
    <row r="475137" spans="7:7">
      <c r="G475137" t="s">
        <v>1569</v>
      </c>
    </row>
    <row r="475138" spans="7:7">
      <c r="G475138" t="s">
        <v>1569</v>
      </c>
    </row>
    <row r="475139" spans="7:7">
      <c r="G475139" t="s">
        <v>1553</v>
      </c>
    </row>
    <row r="475140" spans="7:7">
      <c r="G475140" t="s">
        <v>1553</v>
      </c>
    </row>
    <row r="475150" spans="7:7">
      <c r="G475150" t="s">
        <v>1553</v>
      </c>
    </row>
    <row r="475151" spans="7:7">
      <c r="G475151" t="s">
        <v>1569</v>
      </c>
    </row>
    <row r="475152" spans="7:7">
      <c r="G475152" t="s">
        <v>1580</v>
      </c>
    </row>
    <row r="475153" spans="7:7">
      <c r="G475153" t="s">
        <v>1569</v>
      </c>
    </row>
    <row r="475154" spans="7:7">
      <c r="G475154" t="s">
        <v>1569</v>
      </c>
    </row>
    <row r="475155" spans="7:7">
      <c r="G475155" t="s">
        <v>1569</v>
      </c>
    </row>
    <row r="475156" spans="7:7">
      <c r="G475156" t="s">
        <v>1569</v>
      </c>
    </row>
    <row r="475157" spans="7:7">
      <c r="G475157" t="s">
        <v>1569</v>
      </c>
    </row>
    <row r="475158" spans="7:7">
      <c r="G475158" t="s">
        <v>1569</v>
      </c>
    </row>
    <row r="475159" spans="7:7">
      <c r="G475159" t="s">
        <v>1569</v>
      </c>
    </row>
    <row r="475160" spans="7:7">
      <c r="G475160" t="s">
        <v>1569</v>
      </c>
    </row>
    <row r="475161" spans="7:7">
      <c r="G475161" t="s">
        <v>1569</v>
      </c>
    </row>
    <row r="475162" spans="7:7">
      <c r="G475162" t="s">
        <v>1553</v>
      </c>
    </row>
    <row r="475163" spans="7:7">
      <c r="G475163" t="s">
        <v>1569</v>
      </c>
    </row>
    <row r="475164" spans="7:7">
      <c r="G475164" t="s">
        <v>1569</v>
      </c>
    </row>
    <row r="491509" spans="7:7">
      <c r="G491509" t="s">
        <v>1553</v>
      </c>
    </row>
    <row r="491510" spans="7:7">
      <c r="G491510" t="s">
        <v>1553</v>
      </c>
    </row>
    <row r="491511" spans="7:7">
      <c r="G491511" t="s">
        <v>1580</v>
      </c>
    </row>
    <row r="491512" spans="7:7">
      <c r="G491512" t="s">
        <v>1553</v>
      </c>
    </row>
    <row r="491513" spans="7:7">
      <c r="G491513" t="s">
        <v>1580</v>
      </c>
    </row>
    <row r="491514" spans="7:7">
      <c r="G491514" t="s">
        <v>1580</v>
      </c>
    </row>
    <row r="491515" spans="7:7">
      <c r="G491515" t="s">
        <v>1553</v>
      </c>
    </row>
    <row r="491516" spans="7:7">
      <c r="G491516" t="s">
        <v>1553</v>
      </c>
    </row>
    <row r="491517" spans="7:7">
      <c r="G491517" t="s">
        <v>1553</v>
      </c>
    </row>
    <row r="491518" spans="7:7">
      <c r="G491518" t="s">
        <v>1569</v>
      </c>
    </row>
    <row r="491519" spans="7:7">
      <c r="G491519" t="s">
        <v>1569</v>
      </c>
    </row>
    <row r="491520" spans="7:7">
      <c r="G491520" t="s">
        <v>1569</v>
      </c>
    </row>
    <row r="491521" spans="7:7">
      <c r="G491521" t="s">
        <v>1569</v>
      </c>
    </row>
    <row r="491522" spans="7:7">
      <c r="G491522" t="s">
        <v>1569</v>
      </c>
    </row>
    <row r="491523" spans="7:7">
      <c r="G491523" t="s">
        <v>1553</v>
      </c>
    </row>
    <row r="491524" spans="7:7">
      <c r="G491524" t="s">
        <v>1553</v>
      </c>
    </row>
    <row r="491534" spans="7:7">
      <c r="G491534" t="s">
        <v>1553</v>
      </c>
    </row>
    <row r="491535" spans="7:7">
      <c r="G491535" t="s">
        <v>1569</v>
      </c>
    </row>
    <row r="491536" spans="7:7">
      <c r="G491536" t="s">
        <v>1580</v>
      </c>
    </row>
    <row r="491537" spans="7:7">
      <c r="G491537" t="s">
        <v>1569</v>
      </c>
    </row>
    <row r="491538" spans="7:7">
      <c r="G491538" t="s">
        <v>1569</v>
      </c>
    </row>
    <row r="491539" spans="7:7">
      <c r="G491539" t="s">
        <v>1569</v>
      </c>
    </row>
    <row r="491540" spans="7:7">
      <c r="G491540" t="s">
        <v>1569</v>
      </c>
    </row>
    <row r="491541" spans="7:7">
      <c r="G491541" t="s">
        <v>1569</v>
      </c>
    </row>
    <row r="491542" spans="7:7">
      <c r="G491542" t="s">
        <v>1569</v>
      </c>
    </row>
    <row r="491543" spans="7:7">
      <c r="G491543" t="s">
        <v>1569</v>
      </c>
    </row>
    <row r="491544" spans="7:7">
      <c r="G491544" t="s">
        <v>1569</v>
      </c>
    </row>
    <row r="491545" spans="7:7">
      <c r="G491545" t="s">
        <v>1569</v>
      </c>
    </row>
    <row r="491546" spans="7:7">
      <c r="G491546" t="s">
        <v>1553</v>
      </c>
    </row>
    <row r="491547" spans="7:7">
      <c r="G491547" t="s">
        <v>1569</v>
      </c>
    </row>
    <row r="491548" spans="7:7">
      <c r="G491548" t="s">
        <v>1569</v>
      </c>
    </row>
    <row r="507893" spans="7:7">
      <c r="G507893" t="s">
        <v>1553</v>
      </c>
    </row>
    <row r="507894" spans="7:7">
      <c r="G507894" t="s">
        <v>1553</v>
      </c>
    </row>
    <row r="507895" spans="7:7">
      <c r="G507895" t="s">
        <v>1580</v>
      </c>
    </row>
    <row r="507896" spans="7:7">
      <c r="G507896" t="s">
        <v>1553</v>
      </c>
    </row>
    <row r="507897" spans="7:7">
      <c r="G507897" t="s">
        <v>1580</v>
      </c>
    </row>
    <row r="507898" spans="7:7">
      <c r="G507898" t="s">
        <v>1580</v>
      </c>
    </row>
    <row r="507899" spans="7:7">
      <c r="G507899" t="s">
        <v>1553</v>
      </c>
    </row>
    <row r="507900" spans="7:7">
      <c r="G507900" t="s">
        <v>1553</v>
      </c>
    </row>
    <row r="507901" spans="7:7">
      <c r="G507901" t="s">
        <v>1553</v>
      </c>
    </row>
    <row r="507902" spans="7:7">
      <c r="G507902" t="s">
        <v>1569</v>
      </c>
    </row>
    <row r="507903" spans="7:7">
      <c r="G507903" t="s">
        <v>1569</v>
      </c>
    </row>
    <row r="507904" spans="7:7">
      <c r="G507904" t="s">
        <v>1569</v>
      </c>
    </row>
    <row r="507905" spans="7:7">
      <c r="G507905" t="s">
        <v>1569</v>
      </c>
    </row>
    <row r="507906" spans="7:7">
      <c r="G507906" t="s">
        <v>1569</v>
      </c>
    </row>
    <row r="507907" spans="7:7">
      <c r="G507907" t="s">
        <v>1553</v>
      </c>
    </row>
    <row r="507908" spans="7:7">
      <c r="G507908" t="s">
        <v>1553</v>
      </c>
    </row>
    <row r="507918" spans="7:7">
      <c r="G507918" t="s">
        <v>1553</v>
      </c>
    </row>
    <row r="507919" spans="7:7">
      <c r="G507919" t="s">
        <v>1569</v>
      </c>
    </row>
    <row r="507920" spans="7:7">
      <c r="G507920" t="s">
        <v>1580</v>
      </c>
    </row>
    <row r="507921" spans="7:7">
      <c r="G507921" t="s">
        <v>1569</v>
      </c>
    </row>
    <row r="507922" spans="7:7">
      <c r="G507922" t="s">
        <v>1569</v>
      </c>
    </row>
    <row r="507923" spans="7:7">
      <c r="G507923" t="s">
        <v>1569</v>
      </c>
    </row>
    <row r="507924" spans="7:7">
      <c r="G507924" t="s">
        <v>1569</v>
      </c>
    </row>
    <row r="507925" spans="7:7">
      <c r="G507925" t="s">
        <v>1569</v>
      </c>
    </row>
    <row r="507926" spans="7:7">
      <c r="G507926" t="s">
        <v>1569</v>
      </c>
    </row>
    <row r="507927" spans="7:7">
      <c r="G507927" t="s">
        <v>1569</v>
      </c>
    </row>
    <row r="507928" spans="7:7">
      <c r="G507928" t="s">
        <v>1569</v>
      </c>
    </row>
    <row r="507929" spans="7:7">
      <c r="G507929" t="s">
        <v>1569</v>
      </c>
    </row>
    <row r="507930" spans="7:7">
      <c r="G507930" t="s">
        <v>1553</v>
      </c>
    </row>
    <row r="507931" spans="7:7">
      <c r="G507931" t="s">
        <v>1569</v>
      </c>
    </row>
    <row r="507932" spans="7:7">
      <c r="G507932" t="s">
        <v>1569</v>
      </c>
    </row>
    <row r="524277" spans="7:7">
      <c r="G524277" t="s">
        <v>1553</v>
      </c>
    </row>
    <row r="524278" spans="7:7">
      <c r="G524278" t="s">
        <v>1553</v>
      </c>
    </row>
    <row r="524279" spans="7:7">
      <c r="G524279" t="s">
        <v>1580</v>
      </c>
    </row>
    <row r="524280" spans="7:7">
      <c r="G524280" t="s">
        <v>1553</v>
      </c>
    </row>
    <row r="524281" spans="7:7">
      <c r="G524281" t="s">
        <v>1580</v>
      </c>
    </row>
    <row r="524282" spans="7:7">
      <c r="G524282" t="s">
        <v>1580</v>
      </c>
    </row>
    <row r="524283" spans="7:7">
      <c r="G524283" t="s">
        <v>1553</v>
      </c>
    </row>
    <row r="524284" spans="7:7">
      <c r="G524284" t="s">
        <v>1553</v>
      </c>
    </row>
    <row r="524285" spans="7:7">
      <c r="G524285" t="s">
        <v>1553</v>
      </c>
    </row>
    <row r="524286" spans="7:7">
      <c r="G524286" t="s">
        <v>1569</v>
      </c>
    </row>
    <row r="524287" spans="7:7">
      <c r="G524287" t="s">
        <v>1569</v>
      </c>
    </row>
    <row r="524288" spans="7:7">
      <c r="G524288" t="s">
        <v>1569</v>
      </c>
    </row>
    <row r="524289" spans="7:7">
      <c r="G524289" t="s">
        <v>1569</v>
      </c>
    </row>
    <row r="524290" spans="7:7">
      <c r="G524290" t="s">
        <v>1569</v>
      </c>
    </row>
    <row r="524291" spans="7:7">
      <c r="G524291" t="s">
        <v>1553</v>
      </c>
    </row>
    <row r="524292" spans="7:7">
      <c r="G524292" t="s">
        <v>1553</v>
      </c>
    </row>
    <row r="524302" spans="7:7">
      <c r="G524302" t="s">
        <v>1553</v>
      </c>
    </row>
    <row r="524303" spans="7:7">
      <c r="G524303" t="s">
        <v>1569</v>
      </c>
    </row>
    <row r="524304" spans="7:7">
      <c r="G524304" t="s">
        <v>1580</v>
      </c>
    </row>
    <row r="524305" spans="7:7">
      <c r="G524305" t="s">
        <v>1569</v>
      </c>
    </row>
    <row r="524306" spans="7:7">
      <c r="G524306" t="s">
        <v>1569</v>
      </c>
    </row>
    <row r="524307" spans="7:7">
      <c r="G524307" t="s">
        <v>1569</v>
      </c>
    </row>
    <row r="524308" spans="7:7">
      <c r="G524308" t="s">
        <v>1569</v>
      </c>
    </row>
    <row r="524309" spans="7:7">
      <c r="G524309" t="s">
        <v>1569</v>
      </c>
    </row>
    <row r="524310" spans="7:7">
      <c r="G524310" t="s">
        <v>1569</v>
      </c>
    </row>
    <row r="524311" spans="7:7">
      <c r="G524311" t="s">
        <v>1569</v>
      </c>
    </row>
    <row r="524312" spans="7:7">
      <c r="G524312" t="s">
        <v>1569</v>
      </c>
    </row>
    <row r="524313" spans="7:7">
      <c r="G524313" t="s">
        <v>1569</v>
      </c>
    </row>
    <row r="524314" spans="7:7">
      <c r="G524314" t="s">
        <v>1553</v>
      </c>
    </row>
    <row r="524315" spans="7:7">
      <c r="G524315" t="s">
        <v>1569</v>
      </c>
    </row>
    <row r="524316" spans="7:7">
      <c r="G524316" t="s">
        <v>1569</v>
      </c>
    </row>
    <row r="540661" spans="7:7">
      <c r="G540661" t="s">
        <v>1553</v>
      </c>
    </row>
    <row r="540662" spans="7:7">
      <c r="G540662" t="s">
        <v>1553</v>
      </c>
    </row>
    <row r="540663" spans="7:7">
      <c r="G540663" t="s">
        <v>1580</v>
      </c>
    </row>
    <row r="540664" spans="7:7">
      <c r="G540664" t="s">
        <v>1553</v>
      </c>
    </row>
    <row r="540665" spans="7:7">
      <c r="G540665" t="s">
        <v>1580</v>
      </c>
    </row>
    <row r="540666" spans="7:7">
      <c r="G540666" t="s">
        <v>1580</v>
      </c>
    </row>
    <row r="540667" spans="7:7">
      <c r="G540667" t="s">
        <v>1553</v>
      </c>
    </row>
    <row r="540668" spans="7:7">
      <c r="G540668" t="s">
        <v>1553</v>
      </c>
    </row>
    <row r="540669" spans="7:7">
      <c r="G540669" t="s">
        <v>1553</v>
      </c>
    </row>
    <row r="540670" spans="7:7">
      <c r="G540670" t="s">
        <v>1569</v>
      </c>
    </row>
    <row r="540671" spans="7:7">
      <c r="G540671" t="s">
        <v>1569</v>
      </c>
    </row>
    <row r="540672" spans="7:7">
      <c r="G540672" t="s">
        <v>1569</v>
      </c>
    </row>
    <row r="540673" spans="7:7">
      <c r="G540673" t="s">
        <v>1569</v>
      </c>
    </row>
    <row r="540674" spans="7:7">
      <c r="G540674" t="s">
        <v>1569</v>
      </c>
    </row>
    <row r="540675" spans="7:7">
      <c r="G540675" t="s">
        <v>1553</v>
      </c>
    </row>
    <row r="540676" spans="7:7">
      <c r="G540676" t="s">
        <v>1553</v>
      </c>
    </row>
    <row r="540686" spans="7:7">
      <c r="G540686" t="s">
        <v>1553</v>
      </c>
    </row>
    <row r="540687" spans="7:7">
      <c r="G540687" t="s">
        <v>1569</v>
      </c>
    </row>
    <row r="540688" spans="7:7">
      <c r="G540688" t="s">
        <v>1580</v>
      </c>
    </row>
    <row r="540689" spans="7:7">
      <c r="G540689" t="s">
        <v>1569</v>
      </c>
    </row>
    <row r="540690" spans="7:7">
      <c r="G540690" t="s">
        <v>1569</v>
      </c>
    </row>
    <row r="540691" spans="7:7">
      <c r="G540691" t="s">
        <v>1569</v>
      </c>
    </row>
    <row r="540692" spans="7:7">
      <c r="G540692" t="s">
        <v>1569</v>
      </c>
    </row>
    <row r="540693" spans="7:7">
      <c r="G540693" t="s">
        <v>1569</v>
      </c>
    </row>
    <row r="540694" spans="7:7">
      <c r="G540694" t="s">
        <v>1569</v>
      </c>
    </row>
    <row r="540695" spans="7:7">
      <c r="G540695" t="s">
        <v>1569</v>
      </c>
    </row>
    <row r="540696" spans="7:7">
      <c r="G540696" t="s">
        <v>1569</v>
      </c>
    </row>
    <row r="540697" spans="7:7">
      <c r="G540697" t="s">
        <v>1569</v>
      </c>
    </row>
    <row r="540698" spans="7:7">
      <c r="G540698" t="s">
        <v>1553</v>
      </c>
    </row>
    <row r="540699" spans="7:7">
      <c r="G540699" t="s">
        <v>1569</v>
      </c>
    </row>
    <row r="540700" spans="7:7">
      <c r="G540700" t="s">
        <v>1569</v>
      </c>
    </row>
    <row r="557045" spans="7:7">
      <c r="G557045" t="s">
        <v>1553</v>
      </c>
    </row>
    <row r="557046" spans="7:7">
      <c r="G557046" t="s">
        <v>1553</v>
      </c>
    </row>
    <row r="557047" spans="7:7">
      <c r="G557047" t="s">
        <v>1580</v>
      </c>
    </row>
    <row r="557048" spans="7:7">
      <c r="G557048" t="s">
        <v>1553</v>
      </c>
    </row>
    <row r="557049" spans="7:7">
      <c r="G557049" t="s">
        <v>1580</v>
      </c>
    </row>
    <row r="557050" spans="7:7">
      <c r="G557050" t="s">
        <v>1580</v>
      </c>
    </row>
    <row r="557051" spans="7:7">
      <c r="G557051" t="s">
        <v>1553</v>
      </c>
    </row>
    <row r="557052" spans="7:7">
      <c r="G557052" t="s">
        <v>1553</v>
      </c>
    </row>
    <row r="557053" spans="7:7">
      <c r="G557053" t="s">
        <v>1553</v>
      </c>
    </row>
    <row r="557054" spans="7:7">
      <c r="G557054" t="s">
        <v>1569</v>
      </c>
    </row>
    <row r="557055" spans="7:7">
      <c r="G557055" t="s">
        <v>1569</v>
      </c>
    </row>
    <row r="557056" spans="7:7">
      <c r="G557056" t="s">
        <v>1569</v>
      </c>
    </row>
    <row r="557057" spans="7:7">
      <c r="G557057" t="s">
        <v>1569</v>
      </c>
    </row>
    <row r="557058" spans="7:7">
      <c r="G557058" t="s">
        <v>1569</v>
      </c>
    </row>
    <row r="557059" spans="7:7">
      <c r="G557059" t="s">
        <v>1553</v>
      </c>
    </row>
    <row r="557060" spans="7:7">
      <c r="G557060" t="s">
        <v>1553</v>
      </c>
    </row>
    <row r="557070" spans="7:7">
      <c r="G557070" t="s">
        <v>1553</v>
      </c>
    </row>
    <row r="557071" spans="7:7">
      <c r="G557071" t="s">
        <v>1569</v>
      </c>
    </row>
    <row r="557072" spans="7:7">
      <c r="G557072" t="s">
        <v>1580</v>
      </c>
    </row>
    <row r="557073" spans="7:7">
      <c r="G557073" t="s">
        <v>1569</v>
      </c>
    </row>
    <row r="557074" spans="7:7">
      <c r="G557074" t="s">
        <v>1569</v>
      </c>
    </row>
    <row r="557075" spans="7:7">
      <c r="G557075" t="s">
        <v>1569</v>
      </c>
    </row>
    <row r="557076" spans="7:7">
      <c r="G557076" t="s">
        <v>1569</v>
      </c>
    </row>
    <row r="557077" spans="7:7">
      <c r="G557077" t="s">
        <v>1569</v>
      </c>
    </row>
    <row r="557078" spans="7:7">
      <c r="G557078" t="s">
        <v>1569</v>
      </c>
    </row>
    <row r="557079" spans="7:7">
      <c r="G557079" t="s">
        <v>1569</v>
      </c>
    </row>
    <row r="557080" spans="7:7">
      <c r="G557080" t="s">
        <v>1569</v>
      </c>
    </row>
    <row r="557081" spans="7:7">
      <c r="G557081" t="s">
        <v>1569</v>
      </c>
    </row>
    <row r="557082" spans="7:7">
      <c r="G557082" t="s">
        <v>1553</v>
      </c>
    </row>
    <row r="557083" spans="7:7">
      <c r="G557083" t="s">
        <v>1569</v>
      </c>
    </row>
    <row r="557084" spans="7:7">
      <c r="G557084" t="s">
        <v>1569</v>
      </c>
    </row>
    <row r="573429" spans="7:7">
      <c r="G573429" t="s">
        <v>1553</v>
      </c>
    </row>
    <row r="573430" spans="7:7">
      <c r="G573430" t="s">
        <v>1553</v>
      </c>
    </row>
    <row r="573431" spans="7:7">
      <c r="G573431" t="s">
        <v>1580</v>
      </c>
    </row>
    <row r="573432" spans="7:7">
      <c r="G573432" t="s">
        <v>1553</v>
      </c>
    </row>
    <row r="573433" spans="7:7">
      <c r="G573433" t="s">
        <v>1580</v>
      </c>
    </row>
    <row r="573434" spans="7:7">
      <c r="G573434" t="s">
        <v>1580</v>
      </c>
    </row>
    <row r="573435" spans="7:7">
      <c r="G573435" t="s">
        <v>1553</v>
      </c>
    </row>
    <row r="573436" spans="7:7">
      <c r="G573436" t="s">
        <v>1553</v>
      </c>
    </row>
    <row r="573437" spans="7:7">
      <c r="G573437" t="s">
        <v>1553</v>
      </c>
    </row>
    <row r="573438" spans="7:7">
      <c r="G573438" t="s">
        <v>1569</v>
      </c>
    </row>
    <row r="573439" spans="7:7">
      <c r="G573439" t="s">
        <v>1569</v>
      </c>
    </row>
    <row r="573440" spans="7:7">
      <c r="G573440" t="s">
        <v>1569</v>
      </c>
    </row>
    <row r="573441" spans="7:7">
      <c r="G573441" t="s">
        <v>1569</v>
      </c>
    </row>
    <row r="573442" spans="7:7">
      <c r="G573442" t="s">
        <v>1569</v>
      </c>
    </row>
    <row r="573443" spans="7:7">
      <c r="G573443" t="s">
        <v>1553</v>
      </c>
    </row>
    <row r="573444" spans="7:7">
      <c r="G573444" t="s">
        <v>1553</v>
      </c>
    </row>
    <row r="573454" spans="7:7">
      <c r="G573454" t="s">
        <v>1553</v>
      </c>
    </row>
    <row r="573455" spans="7:7">
      <c r="G573455" t="s">
        <v>1569</v>
      </c>
    </row>
    <row r="573456" spans="7:7">
      <c r="G573456" t="s">
        <v>1580</v>
      </c>
    </row>
    <row r="573457" spans="7:7">
      <c r="G573457" t="s">
        <v>1569</v>
      </c>
    </row>
    <row r="573458" spans="7:7">
      <c r="G573458" t="s">
        <v>1569</v>
      </c>
    </row>
    <row r="573459" spans="7:7">
      <c r="G573459" t="s">
        <v>1569</v>
      </c>
    </row>
    <row r="573460" spans="7:7">
      <c r="G573460" t="s">
        <v>1569</v>
      </c>
    </row>
    <row r="573461" spans="7:7">
      <c r="G573461" t="s">
        <v>1569</v>
      </c>
    </row>
    <row r="573462" spans="7:7">
      <c r="G573462" t="s">
        <v>1569</v>
      </c>
    </row>
    <row r="573463" spans="7:7">
      <c r="G573463" t="s">
        <v>1569</v>
      </c>
    </row>
    <row r="573464" spans="7:7">
      <c r="G573464" t="s">
        <v>1569</v>
      </c>
    </row>
    <row r="573465" spans="7:7">
      <c r="G573465" t="s">
        <v>1569</v>
      </c>
    </row>
    <row r="573466" spans="7:7">
      <c r="G573466" t="s">
        <v>1553</v>
      </c>
    </row>
    <row r="573467" spans="7:7">
      <c r="G573467" t="s">
        <v>1569</v>
      </c>
    </row>
    <row r="573468" spans="7:7">
      <c r="G573468" t="s">
        <v>1569</v>
      </c>
    </row>
    <row r="589813" spans="7:7">
      <c r="G589813" t="s">
        <v>1553</v>
      </c>
    </row>
    <row r="589814" spans="7:7">
      <c r="G589814" t="s">
        <v>1553</v>
      </c>
    </row>
    <row r="589815" spans="7:7">
      <c r="G589815" t="s">
        <v>1580</v>
      </c>
    </row>
    <row r="589816" spans="7:7">
      <c r="G589816" t="s">
        <v>1553</v>
      </c>
    </row>
    <row r="589817" spans="7:7">
      <c r="G589817" t="s">
        <v>1580</v>
      </c>
    </row>
    <row r="589818" spans="7:7">
      <c r="G589818" t="s">
        <v>1580</v>
      </c>
    </row>
    <row r="589819" spans="7:7">
      <c r="G589819" t="s">
        <v>1553</v>
      </c>
    </row>
    <row r="589820" spans="7:7">
      <c r="G589820" t="s">
        <v>1553</v>
      </c>
    </row>
    <row r="589821" spans="7:7">
      <c r="G589821" t="s">
        <v>1553</v>
      </c>
    </row>
    <row r="589822" spans="7:7">
      <c r="G589822" t="s">
        <v>1569</v>
      </c>
    </row>
    <row r="589823" spans="7:7">
      <c r="G589823" t="s">
        <v>1569</v>
      </c>
    </row>
    <row r="589824" spans="7:7">
      <c r="G589824" t="s">
        <v>1569</v>
      </c>
    </row>
    <row r="589825" spans="7:7">
      <c r="G589825" t="s">
        <v>1569</v>
      </c>
    </row>
    <row r="589826" spans="7:7">
      <c r="G589826" t="s">
        <v>1569</v>
      </c>
    </row>
    <row r="589827" spans="7:7">
      <c r="G589827" t="s">
        <v>1553</v>
      </c>
    </row>
    <row r="589828" spans="7:7">
      <c r="G589828" t="s">
        <v>1553</v>
      </c>
    </row>
    <row r="589838" spans="7:7">
      <c r="G589838" t="s">
        <v>1553</v>
      </c>
    </row>
    <row r="589839" spans="7:7">
      <c r="G589839" t="s">
        <v>1569</v>
      </c>
    </row>
    <row r="589840" spans="7:7">
      <c r="G589840" t="s">
        <v>1580</v>
      </c>
    </row>
    <row r="589841" spans="7:7">
      <c r="G589841" t="s">
        <v>1569</v>
      </c>
    </row>
    <row r="589842" spans="7:7">
      <c r="G589842" t="s">
        <v>1569</v>
      </c>
    </row>
    <row r="589843" spans="7:7">
      <c r="G589843" t="s">
        <v>1569</v>
      </c>
    </row>
    <row r="589844" spans="7:7">
      <c r="G589844" t="s">
        <v>1569</v>
      </c>
    </row>
    <row r="589845" spans="7:7">
      <c r="G589845" t="s">
        <v>1569</v>
      </c>
    </row>
    <row r="589846" spans="7:7">
      <c r="G589846" t="s">
        <v>1569</v>
      </c>
    </row>
    <row r="589847" spans="7:7">
      <c r="G589847" t="s">
        <v>1569</v>
      </c>
    </row>
    <row r="589848" spans="7:7">
      <c r="G589848" t="s">
        <v>1569</v>
      </c>
    </row>
    <row r="589849" spans="7:7">
      <c r="G589849" t="s">
        <v>1569</v>
      </c>
    </row>
    <row r="589850" spans="7:7">
      <c r="G589850" t="s">
        <v>1553</v>
      </c>
    </row>
    <row r="589851" spans="7:7">
      <c r="G589851" t="s">
        <v>1569</v>
      </c>
    </row>
    <row r="589852" spans="7:7">
      <c r="G589852" t="s">
        <v>1569</v>
      </c>
    </row>
    <row r="606197" spans="7:7">
      <c r="G606197" t="s">
        <v>1553</v>
      </c>
    </row>
    <row r="606198" spans="7:7">
      <c r="G606198" t="s">
        <v>1553</v>
      </c>
    </row>
    <row r="606199" spans="7:7">
      <c r="G606199" t="s">
        <v>1580</v>
      </c>
    </row>
    <row r="606200" spans="7:7">
      <c r="G606200" t="s">
        <v>1553</v>
      </c>
    </row>
    <row r="606201" spans="7:7">
      <c r="G606201" t="s">
        <v>1580</v>
      </c>
    </row>
    <row r="606202" spans="7:7">
      <c r="G606202" t="s">
        <v>1580</v>
      </c>
    </row>
    <row r="606203" spans="7:7">
      <c r="G606203" t="s">
        <v>1553</v>
      </c>
    </row>
    <row r="606204" spans="7:7">
      <c r="G606204" t="s">
        <v>1553</v>
      </c>
    </row>
    <row r="606205" spans="7:7">
      <c r="G606205" t="s">
        <v>1553</v>
      </c>
    </row>
    <row r="606206" spans="7:7">
      <c r="G606206" t="s">
        <v>1569</v>
      </c>
    </row>
    <row r="606207" spans="7:7">
      <c r="G606207" t="s">
        <v>1569</v>
      </c>
    </row>
    <row r="606208" spans="7:7">
      <c r="G606208" t="s">
        <v>1569</v>
      </c>
    </row>
    <row r="606209" spans="7:7">
      <c r="G606209" t="s">
        <v>1569</v>
      </c>
    </row>
    <row r="606210" spans="7:7">
      <c r="G606210" t="s">
        <v>1569</v>
      </c>
    </row>
    <row r="606211" spans="7:7">
      <c r="G606211" t="s">
        <v>1553</v>
      </c>
    </row>
    <row r="606212" spans="7:7">
      <c r="G606212" t="s">
        <v>1553</v>
      </c>
    </row>
    <row r="606222" spans="7:7">
      <c r="G606222" t="s">
        <v>1553</v>
      </c>
    </row>
    <row r="606223" spans="7:7">
      <c r="G606223" t="s">
        <v>1569</v>
      </c>
    </row>
    <row r="606224" spans="7:7">
      <c r="G606224" t="s">
        <v>1580</v>
      </c>
    </row>
    <row r="606225" spans="7:7">
      <c r="G606225" t="s">
        <v>1569</v>
      </c>
    </row>
    <row r="606226" spans="7:7">
      <c r="G606226" t="s">
        <v>1569</v>
      </c>
    </row>
    <row r="606227" spans="7:7">
      <c r="G606227" t="s">
        <v>1569</v>
      </c>
    </row>
    <row r="606228" spans="7:7">
      <c r="G606228" t="s">
        <v>1569</v>
      </c>
    </row>
    <row r="606229" spans="7:7">
      <c r="G606229" t="s">
        <v>1569</v>
      </c>
    </row>
    <row r="606230" spans="7:7">
      <c r="G606230" t="s">
        <v>1569</v>
      </c>
    </row>
    <row r="606231" spans="7:7">
      <c r="G606231" t="s">
        <v>1569</v>
      </c>
    </row>
    <row r="606232" spans="7:7">
      <c r="G606232" t="s">
        <v>1569</v>
      </c>
    </row>
    <row r="606233" spans="7:7">
      <c r="G606233" t="s">
        <v>1569</v>
      </c>
    </row>
    <row r="606234" spans="7:7">
      <c r="G606234" t="s">
        <v>1553</v>
      </c>
    </row>
    <row r="606235" spans="7:7">
      <c r="G606235" t="s">
        <v>1569</v>
      </c>
    </row>
    <row r="606236" spans="7:7">
      <c r="G606236" t="s">
        <v>1569</v>
      </c>
    </row>
    <row r="622581" spans="7:7">
      <c r="G622581" t="s">
        <v>1553</v>
      </c>
    </row>
    <row r="622582" spans="7:7">
      <c r="G622582" t="s">
        <v>1553</v>
      </c>
    </row>
    <row r="622583" spans="7:7">
      <c r="G622583" t="s">
        <v>1580</v>
      </c>
    </row>
    <row r="622584" spans="7:7">
      <c r="G622584" t="s">
        <v>1553</v>
      </c>
    </row>
    <row r="622585" spans="7:7">
      <c r="G622585" t="s">
        <v>1580</v>
      </c>
    </row>
    <row r="622586" spans="7:7">
      <c r="G622586" t="s">
        <v>1580</v>
      </c>
    </row>
    <row r="622587" spans="7:7">
      <c r="G622587" t="s">
        <v>1553</v>
      </c>
    </row>
    <row r="622588" spans="7:7">
      <c r="G622588" t="s">
        <v>1553</v>
      </c>
    </row>
    <row r="622589" spans="7:7">
      <c r="G622589" t="s">
        <v>1553</v>
      </c>
    </row>
    <row r="622590" spans="7:7">
      <c r="G622590" t="s">
        <v>1569</v>
      </c>
    </row>
    <row r="622591" spans="7:7">
      <c r="G622591" t="s">
        <v>1569</v>
      </c>
    </row>
    <row r="622592" spans="7:7">
      <c r="G622592" t="s">
        <v>1569</v>
      </c>
    </row>
    <row r="622593" spans="7:7">
      <c r="G622593" t="s">
        <v>1569</v>
      </c>
    </row>
    <row r="622594" spans="7:7">
      <c r="G622594" t="s">
        <v>1569</v>
      </c>
    </row>
    <row r="622595" spans="7:7">
      <c r="G622595" t="s">
        <v>1553</v>
      </c>
    </row>
    <row r="622596" spans="7:7">
      <c r="G622596" t="s">
        <v>1553</v>
      </c>
    </row>
    <row r="622606" spans="7:7">
      <c r="G622606" t="s">
        <v>1553</v>
      </c>
    </row>
    <row r="622607" spans="7:7">
      <c r="G622607" t="s">
        <v>1569</v>
      </c>
    </row>
    <row r="622608" spans="7:7">
      <c r="G622608" t="s">
        <v>1580</v>
      </c>
    </row>
    <row r="622609" spans="7:7">
      <c r="G622609" t="s">
        <v>1569</v>
      </c>
    </row>
    <row r="622610" spans="7:7">
      <c r="G622610" t="s">
        <v>1569</v>
      </c>
    </row>
    <row r="622611" spans="7:7">
      <c r="G622611" t="s">
        <v>1569</v>
      </c>
    </row>
    <row r="622612" spans="7:7">
      <c r="G622612" t="s">
        <v>1569</v>
      </c>
    </row>
    <row r="622613" spans="7:7">
      <c r="G622613" t="s">
        <v>1569</v>
      </c>
    </row>
    <row r="622614" spans="7:7">
      <c r="G622614" t="s">
        <v>1569</v>
      </c>
    </row>
    <row r="622615" spans="7:7">
      <c r="G622615" t="s">
        <v>1569</v>
      </c>
    </row>
    <row r="622616" spans="7:7">
      <c r="G622616" t="s">
        <v>1569</v>
      </c>
    </row>
    <row r="622617" spans="7:7">
      <c r="G622617" t="s">
        <v>1569</v>
      </c>
    </row>
    <row r="622618" spans="7:7">
      <c r="G622618" t="s">
        <v>1553</v>
      </c>
    </row>
    <row r="622619" spans="7:7">
      <c r="G622619" t="s">
        <v>1569</v>
      </c>
    </row>
    <row r="622620" spans="7:7">
      <c r="G622620" t="s">
        <v>1569</v>
      </c>
    </row>
    <row r="638965" spans="7:7">
      <c r="G638965" t="s">
        <v>1553</v>
      </c>
    </row>
    <row r="638966" spans="7:7">
      <c r="G638966" t="s">
        <v>1553</v>
      </c>
    </row>
    <row r="638967" spans="7:7">
      <c r="G638967" t="s">
        <v>1580</v>
      </c>
    </row>
    <row r="638968" spans="7:7">
      <c r="G638968" t="s">
        <v>1553</v>
      </c>
    </row>
    <row r="638969" spans="7:7">
      <c r="G638969" t="s">
        <v>1580</v>
      </c>
    </row>
    <row r="638970" spans="7:7">
      <c r="G638970" t="s">
        <v>1580</v>
      </c>
    </row>
    <row r="638971" spans="7:7">
      <c r="G638971" t="s">
        <v>1553</v>
      </c>
    </row>
    <row r="638972" spans="7:7">
      <c r="G638972" t="s">
        <v>1553</v>
      </c>
    </row>
    <row r="638973" spans="7:7">
      <c r="G638973" t="s">
        <v>1553</v>
      </c>
    </row>
    <row r="638974" spans="7:7">
      <c r="G638974" t="s">
        <v>1569</v>
      </c>
    </row>
    <row r="638975" spans="7:7">
      <c r="G638975" t="s">
        <v>1569</v>
      </c>
    </row>
    <row r="638976" spans="7:7">
      <c r="G638976" t="s">
        <v>1569</v>
      </c>
    </row>
    <row r="638977" spans="7:7">
      <c r="G638977" t="s">
        <v>1569</v>
      </c>
    </row>
    <row r="638978" spans="7:7">
      <c r="G638978" t="s">
        <v>1569</v>
      </c>
    </row>
    <row r="638979" spans="7:7">
      <c r="G638979" t="s">
        <v>1553</v>
      </c>
    </row>
    <row r="638980" spans="7:7">
      <c r="G638980" t="s">
        <v>1553</v>
      </c>
    </row>
    <row r="638990" spans="7:7">
      <c r="G638990" t="s">
        <v>1553</v>
      </c>
    </row>
    <row r="638991" spans="7:7">
      <c r="G638991" t="s">
        <v>1569</v>
      </c>
    </row>
    <row r="638992" spans="7:7">
      <c r="G638992" t="s">
        <v>1580</v>
      </c>
    </row>
    <row r="638993" spans="7:7">
      <c r="G638993" t="s">
        <v>1569</v>
      </c>
    </row>
    <row r="638994" spans="7:7">
      <c r="G638994" t="s">
        <v>1569</v>
      </c>
    </row>
    <row r="638995" spans="7:7">
      <c r="G638995" t="s">
        <v>1569</v>
      </c>
    </row>
    <row r="638996" spans="7:7">
      <c r="G638996" t="s">
        <v>1569</v>
      </c>
    </row>
    <row r="638997" spans="7:7">
      <c r="G638997" t="s">
        <v>1569</v>
      </c>
    </row>
    <row r="638998" spans="7:7">
      <c r="G638998" t="s">
        <v>1569</v>
      </c>
    </row>
    <row r="638999" spans="7:7">
      <c r="G638999" t="s">
        <v>1569</v>
      </c>
    </row>
    <row r="639000" spans="7:7">
      <c r="G639000" t="s">
        <v>1569</v>
      </c>
    </row>
    <row r="639001" spans="7:7">
      <c r="G639001" t="s">
        <v>1569</v>
      </c>
    </row>
    <row r="639002" spans="7:7">
      <c r="G639002" t="s">
        <v>1553</v>
      </c>
    </row>
    <row r="639003" spans="7:7">
      <c r="G639003" t="s">
        <v>1569</v>
      </c>
    </row>
    <row r="639004" spans="7:7">
      <c r="G639004" t="s">
        <v>1569</v>
      </c>
    </row>
    <row r="655349" spans="7:7">
      <c r="G655349" t="s">
        <v>1553</v>
      </c>
    </row>
    <row r="655350" spans="7:7">
      <c r="G655350" t="s">
        <v>1553</v>
      </c>
    </row>
    <row r="655351" spans="7:7">
      <c r="G655351" t="s">
        <v>1580</v>
      </c>
    </row>
    <row r="655352" spans="7:7">
      <c r="G655352" t="s">
        <v>1553</v>
      </c>
    </row>
    <row r="655353" spans="7:7">
      <c r="G655353" t="s">
        <v>1580</v>
      </c>
    </row>
    <row r="655354" spans="7:7">
      <c r="G655354" t="s">
        <v>1580</v>
      </c>
    </row>
    <row r="655355" spans="7:7">
      <c r="G655355" t="s">
        <v>1553</v>
      </c>
    </row>
    <row r="655356" spans="7:7">
      <c r="G655356" t="s">
        <v>1553</v>
      </c>
    </row>
    <row r="655357" spans="7:7">
      <c r="G655357" t="s">
        <v>1553</v>
      </c>
    </row>
    <row r="655358" spans="7:7">
      <c r="G655358" t="s">
        <v>1569</v>
      </c>
    </row>
    <row r="655359" spans="7:7">
      <c r="G655359" t="s">
        <v>1569</v>
      </c>
    </row>
    <row r="655360" spans="7:7">
      <c r="G655360" t="s">
        <v>1569</v>
      </c>
    </row>
    <row r="655361" spans="7:7">
      <c r="G655361" t="s">
        <v>1569</v>
      </c>
    </row>
    <row r="655362" spans="7:7">
      <c r="G655362" t="s">
        <v>1569</v>
      </c>
    </row>
    <row r="655363" spans="7:7">
      <c r="G655363" t="s">
        <v>1553</v>
      </c>
    </row>
    <row r="655364" spans="7:7">
      <c r="G655364" t="s">
        <v>1553</v>
      </c>
    </row>
    <row r="655374" spans="7:7">
      <c r="G655374" t="s">
        <v>1553</v>
      </c>
    </row>
    <row r="655375" spans="7:7">
      <c r="G655375" t="s">
        <v>1569</v>
      </c>
    </row>
    <row r="655376" spans="7:7">
      <c r="G655376" t="s">
        <v>1580</v>
      </c>
    </row>
    <row r="655377" spans="7:7">
      <c r="G655377" t="s">
        <v>1569</v>
      </c>
    </row>
    <row r="655378" spans="7:7">
      <c r="G655378" t="s">
        <v>1569</v>
      </c>
    </row>
    <row r="655379" spans="7:7">
      <c r="G655379" t="s">
        <v>1569</v>
      </c>
    </row>
    <row r="655380" spans="7:7">
      <c r="G655380" t="s">
        <v>1569</v>
      </c>
    </row>
    <row r="655381" spans="7:7">
      <c r="G655381" t="s">
        <v>1569</v>
      </c>
    </row>
    <row r="655382" spans="7:7">
      <c r="G655382" t="s">
        <v>1569</v>
      </c>
    </row>
    <row r="655383" spans="7:7">
      <c r="G655383" t="s">
        <v>1569</v>
      </c>
    </row>
    <row r="655384" spans="7:7">
      <c r="G655384" t="s">
        <v>1569</v>
      </c>
    </row>
    <row r="655385" spans="7:7">
      <c r="G655385" t="s">
        <v>1569</v>
      </c>
    </row>
    <row r="655386" spans="7:7">
      <c r="G655386" t="s">
        <v>1553</v>
      </c>
    </row>
    <row r="655387" spans="7:7">
      <c r="G655387" t="s">
        <v>1569</v>
      </c>
    </row>
    <row r="655388" spans="7:7">
      <c r="G655388" t="s">
        <v>1569</v>
      </c>
    </row>
    <row r="671733" spans="7:7">
      <c r="G671733" t="s">
        <v>1553</v>
      </c>
    </row>
    <row r="671734" spans="7:7">
      <c r="G671734" t="s">
        <v>1553</v>
      </c>
    </row>
    <row r="671735" spans="7:7">
      <c r="G671735" t="s">
        <v>1580</v>
      </c>
    </row>
    <row r="671736" spans="7:7">
      <c r="G671736" t="s">
        <v>1553</v>
      </c>
    </row>
    <row r="671737" spans="7:7">
      <c r="G671737" t="s">
        <v>1580</v>
      </c>
    </row>
    <row r="671738" spans="7:7">
      <c r="G671738" t="s">
        <v>1580</v>
      </c>
    </row>
    <row r="671739" spans="7:7">
      <c r="G671739" t="s">
        <v>1553</v>
      </c>
    </row>
    <row r="671740" spans="7:7">
      <c r="G671740" t="s">
        <v>1553</v>
      </c>
    </row>
    <row r="671741" spans="7:7">
      <c r="G671741" t="s">
        <v>1553</v>
      </c>
    </row>
    <row r="671742" spans="7:7">
      <c r="G671742" t="s">
        <v>1569</v>
      </c>
    </row>
    <row r="671743" spans="7:7">
      <c r="G671743" t="s">
        <v>1569</v>
      </c>
    </row>
    <row r="671744" spans="7:7">
      <c r="G671744" t="s">
        <v>1569</v>
      </c>
    </row>
    <row r="671745" spans="7:7">
      <c r="G671745" t="s">
        <v>1569</v>
      </c>
    </row>
    <row r="671746" spans="7:7">
      <c r="G671746" t="s">
        <v>1569</v>
      </c>
    </row>
    <row r="671747" spans="7:7">
      <c r="G671747" t="s">
        <v>1553</v>
      </c>
    </row>
    <row r="671748" spans="7:7">
      <c r="G671748" t="s">
        <v>1553</v>
      </c>
    </row>
    <row r="671758" spans="7:7">
      <c r="G671758" t="s">
        <v>1553</v>
      </c>
    </row>
    <row r="671759" spans="7:7">
      <c r="G671759" t="s">
        <v>1569</v>
      </c>
    </row>
    <row r="671760" spans="7:7">
      <c r="G671760" t="s">
        <v>1580</v>
      </c>
    </row>
    <row r="671761" spans="7:7">
      <c r="G671761" t="s">
        <v>1569</v>
      </c>
    </row>
    <row r="671762" spans="7:7">
      <c r="G671762" t="s">
        <v>1569</v>
      </c>
    </row>
    <row r="671763" spans="7:7">
      <c r="G671763" t="s">
        <v>1569</v>
      </c>
    </row>
    <row r="671764" spans="7:7">
      <c r="G671764" t="s">
        <v>1569</v>
      </c>
    </row>
    <row r="671765" spans="7:7">
      <c r="G671765" t="s">
        <v>1569</v>
      </c>
    </row>
    <row r="671766" spans="7:7">
      <c r="G671766" t="s">
        <v>1569</v>
      </c>
    </row>
    <row r="671767" spans="7:7">
      <c r="G671767" t="s">
        <v>1569</v>
      </c>
    </row>
    <row r="671768" spans="7:7">
      <c r="G671768" t="s">
        <v>1569</v>
      </c>
    </row>
    <row r="671769" spans="7:7">
      <c r="G671769" t="s">
        <v>1569</v>
      </c>
    </row>
    <row r="671770" spans="7:7">
      <c r="G671770" t="s">
        <v>1553</v>
      </c>
    </row>
    <row r="671771" spans="7:7">
      <c r="G671771" t="s">
        <v>1569</v>
      </c>
    </row>
    <row r="671772" spans="7:7">
      <c r="G671772" t="s">
        <v>1569</v>
      </c>
    </row>
    <row r="688117" spans="7:7">
      <c r="G688117" t="s">
        <v>1553</v>
      </c>
    </row>
    <row r="688118" spans="7:7">
      <c r="G688118" t="s">
        <v>1553</v>
      </c>
    </row>
    <row r="688119" spans="7:7">
      <c r="G688119" t="s">
        <v>1580</v>
      </c>
    </row>
    <row r="688120" spans="7:7">
      <c r="G688120" t="s">
        <v>1553</v>
      </c>
    </row>
    <row r="688121" spans="7:7">
      <c r="G688121" t="s">
        <v>1580</v>
      </c>
    </row>
    <row r="688122" spans="7:7">
      <c r="G688122" t="s">
        <v>1580</v>
      </c>
    </row>
    <row r="688123" spans="7:7">
      <c r="G688123" t="s">
        <v>1553</v>
      </c>
    </row>
    <row r="688124" spans="7:7">
      <c r="G688124" t="s">
        <v>1553</v>
      </c>
    </row>
    <row r="688125" spans="7:7">
      <c r="G688125" t="s">
        <v>1553</v>
      </c>
    </row>
    <row r="688126" spans="7:7">
      <c r="G688126" t="s">
        <v>1569</v>
      </c>
    </row>
    <row r="688127" spans="7:7">
      <c r="G688127" t="s">
        <v>1569</v>
      </c>
    </row>
    <row r="688128" spans="7:7">
      <c r="G688128" t="s">
        <v>1569</v>
      </c>
    </row>
    <row r="688129" spans="7:7">
      <c r="G688129" t="s">
        <v>1569</v>
      </c>
    </row>
    <row r="688130" spans="7:7">
      <c r="G688130" t="s">
        <v>1569</v>
      </c>
    </row>
    <row r="688131" spans="7:7">
      <c r="G688131" t="s">
        <v>1553</v>
      </c>
    </row>
    <row r="688132" spans="7:7">
      <c r="G688132" t="s">
        <v>1553</v>
      </c>
    </row>
    <row r="688142" spans="7:7">
      <c r="G688142" t="s">
        <v>1553</v>
      </c>
    </row>
    <row r="688143" spans="7:7">
      <c r="G688143" t="s">
        <v>1569</v>
      </c>
    </row>
    <row r="688144" spans="7:7">
      <c r="G688144" t="s">
        <v>1580</v>
      </c>
    </row>
    <row r="688145" spans="7:7">
      <c r="G688145" t="s">
        <v>1569</v>
      </c>
    </row>
    <row r="688146" spans="7:7">
      <c r="G688146" t="s">
        <v>1569</v>
      </c>
    </row>
    <row r="688147" spans="7:7">
      <c r="G688147" t="s">
        <v>1569</v>
      </c>
    </row>
    <row r="688148" spans="7:7">
      <c r="G688148" t="s">
        <v>1569</v>
      </c>
    </row>
    <row r="688149" spans="7:7">
      <c r="G688149" t="s">
        <v>1569</v>
      </c>
    </row>
    <row r="688150" spans="7:7">
      <c r="G688150" t="s">
        <v>1569</v>
      </c>
    </row>
    <row r="688151" spans="7:7">
      <c r="G688151" t="s">
        <v>1569</v>
      </c>
    </row>
    <row r="688152" spans="7:7">
      <c r="G688152" t="s">
        <v>1569</v>
      </c>
    </row>
    <row r="688153" spans="7:7">
      <c r="G688153" t="s">
        <v>1569</v>
      </c>
    </row>
    <row r="688154" spans="7:7">
      <c r="G688154" t="s">
        <v>1553</v>
      </c>
    </row>
    <row r="688155" spans="7:7">
      <c r="G688155" t="s">
        <v>1569</v>
      </c>
    </row>
    <row r="688156" spans="7:7">
      <c r="G688156" t="s">
        <v>1569</v>
      </c>
    </row>
    <row r="704501" spans="7:7">
      <c r="G704501" t="s">
        <v>1553</v>
      </c>
    </row>
    <row r="704502" spans="7:7">
      <c r="G704502" t="s">
        <v>1553</v>
      </c>
    </row>
    <row r="704503" spans="7:7">
      <c r="G704503" t="s">
        <v>1580</v>
      </c>
    </row>
    <row r="704504" spans="7:7">
      <c r="G704504" t="s">
        <v>1553</v>
      </c>
    </row>
    <row r="704505" spans="7:7">
      <c r="G704505" t="s">
        <v>1580</v>
      </c>
    </row>
    <row r="704506" spans="7:7">
      <c r="G704506" t="s">
        <v>1580</v>
      </c>
    </row>
    <row r="704507" spans="7:7">
      <c r="G704507" t="s">
        <v>1553</v>
      </c>
    </row>
    <row r="704508" spans="7:7">
      <c r="G704508" t="s">
        <v>1553</v>
      </c>
    </row>
    <row r="704509" spans="7:7">
      <c r="G704509" t="s">
        <v>1553</v>
      </c>
    </row>
    <row r="704510" spans="7:7">
      <c r="G704510" t="s">
        <v>1569</v>
      </c>
    </row>
    <row r="704511" spans="7:7">
      <c r="G704511" t="s">
        <v>1569</v>
      </c>
    </row>
    <row r="704512" spans="7:7">
      <c r="G704512" t="s">
        <v>1569</v>
      </c>
    </row>
    <row r="704513" spans="7:7">
      <c r="G704513" t="s">
        <v>1569</v>
      </c>
    </row>
    <row r="704514" spans="7:7">
      <c r="G704514" t="s">
        <v>1569</v>
      </c>
    </row>
    <row r="704515" spans="7:7">
      <c r="G704515" t="s">
        <v>1553</v>
      </c>
    </row>
    <row r="704516" spans="7:7">
      <c r="G704516" t="s">
        <v>1553</v>
      </c>
    </row>
    <row r="704526" spans="7:7">
      <c r="G704526" t="s">
        <v>1553</v>
      </c>
    </row>
    <row r="704527" spans="7:7">
      <c r="G704527" t="s">
        <v>1569</v>
      </c>
    </row>
    <row r="704528" spans="7:7">
      <c r="G704528" t="s">
        <v>1580</v>
      </c>
    </row>
    <row r="704529" spans="7:7">
      <c r="G704529" t="s">
        <v>1569</v>
      </c>
    </row>
    <row r="704530" spans="7:7">
      <c r="G704530" t="s">
        <v>1569</v>
      </c>
    </row>
    <row r="704531" spans="7:7">
      <c r="G704531" t="s">
        <v>1569</v>
      </c>
    </row>
    <row r="704532" spans="7:7">
      <c r="G704532" t="s">
        <v>1569</v>
      </c>
    </row>
    <row r="704533" spans="7:7">
      <c r="G704533" t="s">
        <v>1569</v>
      </c>
    </row>
    <row r="704534" spans="7:7">
      <c r="G704534" t="s">
        <v>1569</v>
      </c>
    </row>
    <row r="704535" spans="7:7">
      <c r="G704535" t="s">
        <v>1569</v>
      </c>
    </row>
    <row r="704536" spans="7:7">
      <c r="G704536" t="s">
        <v>1569</v>
      </c>
    </row>
    <row r="704537" spans="7:7">
      <c r="G704537" t="s">
        <v>1569</v>
      </c>
    </row>
    <row r="704538" spans="7:7">
      <c r="G704538" t="s">
        <v>1553</v>
      </c>
    </row>
    <row r="704539" spans="7:7">
      <c r="G704539" t="s">
        <v>1569</v>
      </c>
    </row>
    <row r="704540" spans="7:7">
      <c r="G704540" t="s">
        <v>1569</v>
      </c>
    </row>
    <row r="720885" spans="7:7">
      <c r="G720885" t="s">
        <v>1553</v>
      </c>
    </row>
    <row r="720886" spans="7:7">
      <c r="G720886" t="s">
        <v>1553</v>
      </c>
    </row>
    <row r="720887" spans="7:7">
      <c r="G720887" t="s">
        <v>1580</v>
      </c>
    </row>
    <row r="720888" spans="7:7">
      <c r="G720888" t="s">
        <v>1553</v>
      </c>
    </row>
    <row r="720889" spans="7:7">
      <c r="G720889" t="s">
        <v>1580</v>
      </c>
    </row>
    <row r="720890" spans="7:7">
      <c r="G720890" t="s">
        <v>1580</v>
      </c>
    </row>
    <row r="720891" spans="7:7">
      <c r="G720891" t="s">
        <v>1553</v>
      </c>
    </row>
    <row r="720892" spans="7:7">
      <c r="G720892" t="s">
        <v>1553</v>
      </c>
    </row>
    <row r="720893" spans="7:7">
      <c r="G720893" t="s">
        <v>1553</v>
      </c>
    </row>
    <row r="720894" spans="7:7">
      <c r="G720894" t="s">
        <v>1569</v>
      </c>
    </row>
    <row r="720895" spans="7:7">
      <c r="G720895" t="s">
        <v>1569</v>
      </c>
    </row>
    <row r="720896" spans="7:7">
      <c r="G720896" t="s">
        <v>1569</v>
      </c>
    </row>
    <row r="720897" spans="7:7">
      <c r="G720897" t="s">
        <v>1569</v>
      </c>
    </row>
    <row r="720898" spans="7:7">
      <c r="G720898" t="s">
        <v>1569</v>
      </c>
    </row>
    <row r="720899" spans="7:7">
      <c r="G720899" t="s">
        <v>1553</v>
      </c>
    </row>
    <row r="720900" spans="7:7">
      <c r="G720900" t="s">
        <v>1553</v>
      </c>
    </row>
    <row r="720910" spans="7:7">
      <c r="G720910" t="s">
        <v>1553</v>
      </c>
    </row>
    <row r="720911" spans="7:7">
      <c r="G720911" t="s">
        <v>1569</v>
      </c>
    </row>
    <row r="720912" spans="7:7">
      <c r="G720912" t="s">
        <v>1580</v>
      </c>
    </row>
    <row r="720913" spans="7:7">
      <c r="G720913" t="s">
        <v>1569</v>
      </c>
    </row>
    <row r="720914" spans="7:7">
      <c r="G720914" t="s">
        <v>1569</v>
      </c>
    </row>
    <row r="720915" spans="7:7">
      <c r="G720915" t="s">
        <v>1569</v>
      </c>
    </row>
    <row r="720916" spans="7:7">
      <c r="G720916" t="s">
        <v>1569</v>
      </c>
    </row>
    <row r="720917" spans="7:7">
      <c r="G720917" t="s">
        <v>1569</v>
      </c>
    </row>
    <row r="720918" spans="7:7">
      <c r="G720918" t="s">
        <v>1569</v>
      </c>
    </row>
    <row r="720919" spans="7:7">
      <c r="G720919" t="s">
        <v>1569</v>
      </c>
    </row>
    <row r="720920" spans="7:7">
      <c r="G720920" t="s">
        <v>1569</v>
      </c>
    </row>
    <row r="720921" spans="7:7">
      <c r="G720921" t="s">
        <v>1569</v>
      </c>
    </row>
    <row r="720922" spans="7:7">
      <c r="G720922" t="s">
        <v>1553</v>
      </c>
    </row>
    <row r="720923" spans="7:7">
      <c r="G720923" t="s">
        <v>1569</v>
      </c>
    </row>
    <row r="720924" spans="7:7">
      <c r="G720924" t="s">
        <v>1569</v>
      </c>
    </row>
    <row r="737269" spans="7:7">
      <c r="G737269" t="s">
        <v>1553</v>
      </c>
    </row>
    <row r="737270" spans="7:7">
      <c r="G737270" t="s">
        <v>1553</v>
      </c>
    </row>
    <row r="737271" spans="7:7">
      <c r="G737271" t="s">
        <v>1580</v>
      </c>
    </row>
    <row r="737272" spans="7:7">
      <c r="G737272" t="s">
        <v>1553</v>
      </c>
    </row>
    <row r="737273" spans="7:7">
      <c r="G737273" t="s">
        <v>1580</v>
      </c>
    </row>
    <row r="737274" spans="7:7">
      <c r="G737274" t="s">
        <v>1580</v>
      </c>
    </row>
    <row r="737275" spans="7:7">
      <c r="G737275" t="s">
        <v>1553</v>
      </c>
    </row>
    <row r="737276" spans="7:7">
      <c r="G737276" t="s">
        <v>1553</v>
      </c>
    </row>
    <row r="737277" spans="7:7">
      <c r="G737277" t="s">
        <v>1553</v>
      </c>
    </row>
    <row r="737278" spans="7:7">
      <c r="G737278" t="s">
        <v>1569</v>
      </c>
    </row>
    <row r="737279" spans="7:7">
      <c r="G737279" t="s">
        <v>1569</v>
      </c>
    </row>
    <row r="737280" spans="7:7">
      <c r="G737280" t="s">
        <v>1569</v>
      </c>
    </row>
    <row r="737281" spans="7:7">
      <c r="G737281" t="s">
        <v>1569</v>
      </c>
    </row>
    <row r="737282" spans="7:7">
      <c r="G737282" t="s">
        <v>1569</v>
      </c>
    </row>
    <row r="737283" spans="7:7">
      <c r="G737283" t="s">
        <v>1553</v>
      </c>
    </row>
    <row r="737284" spans="7:7">
      <c r="G737284" t="s">
        <v>1553</v>
      </c>
    </row>
    <row r="737294" spans="7:7">
      <c r="G737294" t="s">
        <v>1553</v>
      </c>
    </row>
    <row r="737295" spans="7:7">
      <c r="G737295" t="s">
        <v>1569</v>
      </c>
    </row>
    <row r="737296" spans="7:7">
      <c r="G737296" t="s">
        <v>1580</v>
      </c>
    </row>
    <row r="737297" spans="7:7">
      <c r="G737297" t="s">
        <v>1569</v>
      </c>
    </row>
    <row r="737298" spans="7:7">
      <c r="G737298" t="s">
        <v>1569</v>
      </c>
    </row>
    <row r="737299" spans="7:7">
      <c r="G737299" t="s">
        <v>1569</v>
      </c>
    </row>
    <row r="737300" spans="7:7">
      <c r="G737300" t="s">
        <v>1569</v>
      </c>
    </row>
    <row r="737301" spans="7:7">
      <c r="G737301" t="s">
        <v>1569</v>
      </c>
    </row>
    <row r="737302" spans="7:7">
      <c r="G737302" t="s">
        <v>1569</v>
      </c>
    </row>
    <row r="737303" spans="7:7">
      <c r="G737303" t="s">
        <v>1569</v>
      </c>
    </row>
    <row r="737304" spans="7:7">
      <c r="G737304" t="s">
        <v>1569</v>
      </c>
    </row>
    <row r="737305" spans="7:7">
      <c r="G737305" t="s">
        <v>1569</v>
      </c>
    </row>
    <row r="737306" spans="7:7">
      <c r="G737306" t="s">
        <v>1553</v>
      </c>
    </row>
    <row r="737307" spans="7:7">
      <c r="G737307" t="s">
        <v>1569</v>
      </c>
    </row>
    <row r="737308" spans="7:7">
      <c r="G737308" t="s">
        <v>1569</v>
      </c>
    </row>
    <row r="753653" spans="7:7">
      <c r="G753653" t="s">
        <v>1553</v>
      </c>
    </row>
    <row r="753654" spans="7:7">
      <c r="G753654" t="s">
        <v>1553</v>
      </c>
    </row>
    <row r="753655" spans="7:7">
      <c r="G753655" t="s">
        <v>1580</v>
      </c>
    </row>
    <row r="753656" spans="7:7">
      <c r="G753656" t="s">
        <v>1553</v>
      </c>
    </row>
    <row r="753657" spans="7:7">
      <c r="G753657" t="s">
        <v>1580</v>
      </c>
    </row>
    <row r="753658" spans="7:7">
      <c r="G753658" t="s">
        <v>1580</v>
      </c>
    </row>
    <row r="753659" spans="7:7">
      <c r="G753659" t="s">
        <v>1553</v>
      </c>
    </row>
    <row r="753660" spans="7:7">
      <c r="G753660" t="s">
        <v>1553</v>
      </c>
    </row>
    <row r="753661" spans="7:7">
      <c r="G753661" t="s">
        <v>1553</v>
      </c>
    </row>
    <row r="753662" spans="7:7">
      <c r="G753662" t="s">
        <v>1569</v>
      </c>
    </row>
    <row r="753663" spans="7:7">
      <c r="G753663" t="s">
        <v>1569</v>
      </c>
    </row>
    <row r="753664" spans="7:7">
      <c r="G753664" t="s">
        <v>1569</v>
      </c>
    </row>
    <row r="753665" spans="7:7">
      <c r="G753665" t="s">
        <v>1569</v>
      </c>
    </row>
    <row r="753666" spans="7:7">
      <c r="G753666" t="s">
        <v>1569</v>
      </c>
    </row>
    <row r="753667" spans="7:7">
      <c r="G753667" t="s">
        <v>1553</v>
      </c>
    </row>
    <row r="753668" spans="7:7">
      <c r="G753668" t="s">
        <v>1553</v>
      </c>
    </row>
    <row r="753678" spans="7:7">
      <c r="G753678" t="s">
        <v>1553</v>
      </c>
    </row>
    <row r="753679" spans="7:7">
      <c r="G753679" t="s">
        <v>1569</v>
      </c>
    </row>
    <row r="753680" spans="7:7">
      <c r="G753680" t="s">
        <v>1580</v>
      </c>
    </row>
    <row r="753681" spans="7:7">
      <c r="G753681" t="s">
        <v>1569</v>
      </c>
    </row>
    <row r="753682" spans="7:7">
      <c r="G753682" t="s">
        <v>1569</v>
      </c>
    </row>
    <row r="753683" spans="7:7">
      <c r="G753683" t="s">
        <v>1569</v>
      </c>
    </row>
    <row r="753684" spans="7:7">
      <c r="G753684" t="s">
        <v>1569</v>
      </c>
    </row>
    <row r="753685" spans="7:7">
      <c r="G753685" t="s">
        <v>1569</v>
      </c>
    </row>
    <row r="753686" spans="7:7">
      <c r="G753686" t="s">
        <v>1569</v>
      </c>
    </row>
    <row r="753687" spans="7:7">
      <c r="G753687" t="s">
        <v>1569</v>
      </c>
    </row>
    <row r="753688" spans="7:7">
      <c r="G753688" t="s">
        <v>1569</v>
      </c>
    </row>
    <row r="753689" spans="7:7">
      <c r="G753689" t="s">
        <v>1569</v>
      </c>
    </row>
    <row r="753690" spans="7:7">
      <c r="G753690" t="s">
        <v>1553</v>
      </c>
    </row>
    <row r="753691" spans="7:7">
      <c r="G753691" t="s">
        <v>1569</v>
      </c>
    </row>
    <row r="753692" spans="7:7">
      <c r="G753692" t="s">
        <v>1569</v>
      </c>
    </row>
    <row r="770037" spans="7:7">
      <c r="G770037" t="s">
        <v>1553</v>
      </c>
    </row>
    <row r="770038" spans="7:7">
      <c r="G770038" t="s">
        <v>1553</v>
      </c>
    </row>
    <row r="770039" spans="7:7">
      <c r="G770039" t="s">
        <v>1580</v>
      </c>
    </row>
    <row r="770040" spans="7:7">
      <c r="G770040" t="s">
        <v>1553</v>
      </c>
    </row>
    <row r="770041" spans="7:7">
      <c r="G770041" t="s">
        <v>1580</v>
      </c>
    </row>
    <row r="770042" spans="7:7">
      <c r="G770042" t="s">
        <v>1580</v>
      </c>
    </row>
    <row r="770043" spans="7:7">
      <c r="G770043" t="s">
        <v>1553</v>
      </c>
    </row>
    <row r="770044" spans="7:7">
      <c r="G770044" t="s">
        <v>1553</v>
      </c>
    </row>
    <row r="770045" spans="7:7">
      <c r="G770045" t="s">
        <v>1553</v>
      </c>
    </row>
    <row r="770046" spans="7:7">
      <c r="G770046" t="s">
        <v>1569</v>
      </c>
    </row>
    <row r="770047" spans="7:7">
      <c r="G770047" t="s">
        <v>1569</v>
      </c>
    </row>
    <row r="770048" spans="7:7">
      <c r="G770048" t="s">
        <v>1569</v>
      </c>
    </row>
    <row r="770049" spans="7:7">
      <c r="G770049" t="s">
        <v>1569</v>
      </c>
    </row>
    <row r="770050" spans="7:7">
      <c r="G770050" t="s">
        <v>1569</v>
      </c>
    </row>
    <row r="770051" spans="7:7">
      <c r="G770051" t="s">
        <v>1553</v>
      </c>
    </row>
    <row r="770052" spans="7:7">
      <c r="G770052" t="s">
        <v>1553</v>
      </c>
    </row>
    <row r="770062" spans="7:7">
      <c r="G770062" t="s">
        <v>1553</v>
      </c>
    </row>
    <row r="770063" spans="7:7">
      <c r="G770063" t="s">
        <v>1569</v>
      </c>
    </row>
    <row r="770064" spans="7:7">
      <c r="G770064" t="s">
        <v>1580</v>
      </c>
    </row>
    <row r="770065" spans="7:7">
      <c r="G770065" t="s">
        <v>1569</v>
      </c>
    </row>
    <row r="770066" spans="7:7">
      <c r="G770066" t="s">
        <v>1569</v>
      </c>
    </row>
    <row r="770067" spans="7:7">
      <c r="G770067" t="s">
        <v>1569</v>
      </c>
    </row>
    <row r="770068" spans="7:7">
      <c r="G770068" t="s">
        <v>1569</v>
      </c>
    </row>
    <row r="770069" spans="7:7">
      <c r="G770069" t="s">
        <v>1569</v>
      </c>
    </row>
    <row r="770070" spans="7:7">
      <c r="G770070" t="s">
        <v>1569</v>
      </c>
    </row>
    <row r="770071" spans="7:7">
      <c r="G770071" t="s">
        <v>1569</v>
      </c>
    </row>
    <row r="770072" spans="7:7">
      <c r="G770072" t="s">
        <v>1569</v>
      </c>
    </row>
    <row r="770073" spans="7:7">
      <c r="G770073" t="s">
        <v>1569</v>
      </c>
    </row>
    <row r="770074" spans="7:7">
      <c r="G770074" t="s">
        <v>1553</v>
      </c>
    </row>
    <row r="770075" spans="7:7">
      <c r="G770075" t="s">
        <v>1569</v>
      </c>
    </row>
    <row r="770076" spans="7:7">
      <c r="G770076" t="s">
        <v>1569</v>
      </c>
    </row>
    <row r="786421" spans="7:7">
      <c r="G786421" t="s">
        <v>1553</v>
      </c>
    </row>
    <row r="786422" spans="7:7">
      <c r="G786422" t="s">
        <v>1553</v>
      </c>
    </row>
    <row r="786423" spans="7:7">
      <c r="G786423" t="s">
        <v>1580</v>
      </c>
    </row>
    <row r="786424" spans="7:7">
      <c r="G786424" t="s">
        <v>1553</v>
      </c>
    </row>
    <row r="786425" spans="7:7">
      <c r="G786425" t="s">
        <v>1580</v>
      </c>
    </row>
    <row r="786426" spans="7:7">
      <c r="G786426" t="s">
        <v>1580</v>
      </c>
    </row>
    <row r="786427" spans="7:7">
      <c r="G786427" t="s">
        <v>1553</v>
      </c>
    </row>
    <row r="786428" spans="7:7">
      <c r="G786428" t="s">
        <v>1553</v>
      </c>
    </row>
    <row r="786429" spans="7:7">
      <c r="G786429" t="s">
        <v>1553</v>
      </c>
    </row>
    <row r="786430" spans="7:7">
      <c r="G786430" t="s">
        <v>1569</v>
      </c>
    </row>
    <row r="786431" spans="7:7">
      <c r="G786431" t="s">
        <v>1569</v>
      </c>
    </row>
    <row r="786432" spans="7:7">
      <c r="G786432" t="s">
        <v>1569</v>
      </c>
    </row>
    <row r="786433" spans="7:7">
      <c r="G786433" t="s">
        <v>1569</v>
      </c>
    </row>
    <row r="786434" spans="7:7">
      <c r="G786434" t="s">
        <v>1569</v>
      </c>
    </row>
    <row r="786435" spans="7:7">
      <c r="G786435" t="s">
        <v>1553</v>
      </c>
    </row>
    <row r="786436" spans="7:7">
      <c r="G786436" t="s">
        <v>1553</v>
      </c>
    </row>
    <row r="786446" spans="7:7">
      <c r="G786446" t="s">
        <v>1553</v>
      </c>
    </row>
    <row r="786447" spans="7:7">
      <c r="G786447" t="s">
        <v>1569</v>
      </c>
    </row>
    <row r="786448" spans="7:7">
      <c r="G786448" t="s">
        <v>1580</v>
      </c>
    </row>
    <row r="786449" spans="7:7">
      <c r="G786449" t="s">
        <v>1569</v>
      </c>
    </row>
    <row r="786450" spans="7:7">
      <c r="G786450" t="s">
        <v>1569</v>
      </c>
    </row>
    <row r="786451" spans="7:7">
      <c r="G786451" t="s">
        <v>1569</v>
      </c>
    </row>
    <row r="786452" spans="7:7">
      <c r="G786452" t="s">
        <v>1569</v>
      </c>
    </row>
    <row r="786453" spans="7:7">
      <c r="G786453" t="s">
        <v>1569</v>
      </c>
    </row>
    <row r="786454" spans="7:7">
      <c r="G786454" t="s">
        <v>1569</v>
      </c>
    </row>
    <row r="786455" spans="7:7">
      <c r="G786455" t="s">
        <v>1569</v>
      </c>
    </row>
    <row r="786456" spans="7:7">
      <c r="G786456" t="s">
        <v>1569</v>
      </c>
    </row>
    <row r="786457" spans="7:7">
      <c r="G786457" t="s">
        <v>1569</v>
      </c>
    </row>
    <row r="786458" spans="7:7">
      <c r="G786458" t="s">
        <v>1553</v>
      </c>
    </row>
    <row r="786459" spans="7:7">
      <c r="G786459" t="s">
        <v>1569</v>
      </c>
    </row>
    <row r="786460" spans="7:7">
      <c r="G786460" t="s">
        <v>1569</v>
      </c>
    </row>
    <row r="802805" spans="7:7">
      <c r="G802805" t="s">
        <v>1553</v>
      </c>
    </row>
    <row r="802806" spans="7:7">
      <c r="G802806" t="s">
        <v>1553</v>
      </c>
    </row>
    <row r="802807" spans="7:7">
      <c r="G802807" t="s">
        <v>1580</v>
      </c>
    </row>
    <row r="802808" spans="7:7">
      <c r="G802808" t="s">
        <v>1553</v>
      </c>
    </row>
    <row r="802809" spans="7:7">
      <c r="G802809" t="s">
        <v>1580</v>
      </c>
    </row>
    <row r="802810" spans="7:7">
      <c r="G802810" t="s">
        <v>1580</v>
      </c>
    </row>
    <row r="802811" spans="7:7">
      <c r="G802811" t="s">
        <v>1553</v>
      </c>
    </row>
    <row r="802812" spans="7:7">
      <c r="G802812" t="s">
        <v>1553</v>
      </c>
    </row>
    <row r="802813" spans="7:7">
      <c r="G802813" t="s">
        <v>1553</v>
      </c>
    </row>
    <row r="802814" spans="7:7">
      <c r="G802814" t="s">
        <v>1569</v>
      </c>
    </row>
    <row r="802815" spans="7:7">
      <c r="G802815" t="s">
        <v>1569</v>
      </c>
    </row>
    <row r="802816" spans="7:7">
      <c r="G802816" t="s">
        <v>1569</v>
      </c>
    </row>
    <row r="802817" spans="7:7">
      <c r="G802817" t="s">
        <v>1569</v>
      </c>
    </row>
    <row r="802818" spans="7:7">
      <c r="G802818" t="s">
        <v>1569</v>
      </c>
    </row>
    <row r="802819" spans="7:7">
      <c r="G802819" t="s">
        <v>1553</v>
      </c>
    </row>
    <row r="802820" spans="7:7">
      <c r="G802820" t="s">
        <v>1553</v>
      </c>
    </row>
    <row r="802830" spans="7:7">
      <c r="G802830" t="s">
        <v>1553</v>
      </c>
    </row>
    <row r="802831" spans="7:7">
      <c r="G802831" t="s">
        <v>1569</v>
      </c>
    </row>
    <row r="802832" spans="7:7">
      <c r="G802832" t="s">
        <v>1580</v>
      </c>
    </row>
    <row r="802833" spans="7:7">
      <c r="G802833" t="s">
        <v>1569</v>
      </c>
    </row>
    <row r="802834" spans="7:7">
      <c r="G802834" t="s">
        <v>1569</v>
      </c>
    </row>
    <row r="802835" spans="7:7">
      <c r="G802835" t="s">
        <v>1569</v>
      </c>
    </row>
    <row r="802836" spans="7:7">
      <c r="G802836" t="s">
        <v>1569</v>
      </c>
    </row>
    <row r="802837" spans="7:7">
      <c r="G802837" t="s">
        <v>1569</v>
      </c>
    </row>
    <row r="802838" spans="7:7">
      <c r="G802838" t="s">
        <v>1569</v>
      </c>
    </row>
    <row r="802839" spans="7:7">
      <c r="G802839" t="s">
        <v>1569</v>
      </c>
    </row>
    <row r="802840" spans="7:7">
      <c r="G802840" t="s">
        <v>1569</v>
      </c>
    </row>
    <row r="802841" spans="7:7">
      <c r="G802841" t="s">
        <v>1569</v>
      </c>
    </row>
    <row r="802842" spans="7:7">
      <c r="G802842" t="s">
        <v>1553</v>
      </c>
    </row>
    <row r="802843" spans="7:7">
      <c r="G802843" t="s">
        <v>1569</v>
      </c>
    </row>
    <row r="802844" spans="7:7">
      <c r="G802844" t="s">
        <v>1569</v>
      </c>
    </row>
    <row r="819189" spans="7:7">
      <c r="G819189" t="s">
        <v>1553</v>
      </c>
    </row>
    <row r="819190" spans="7:7">
      <c r="G819190" t="s">
        <v>1553</v>
      </c>
    </row>
    <row r="819191" spans="7:7">
      <c r="G819191" t="s">
        <v>1580</v>
      </c>
    </row>
    <row r="819192" spans="7:7">
      <c r="G819192" t="s">
        <v>1553</v>
      </c>
    </row>
    <row r="819193" spans="7:7">
      <c r="G819193" t="s">
        <v>1580</v>
      </c>
    </row>
    <row r="819194" spans="7:7">
      <c r="G819194" t="s">
        <v>1580</v>
      </c>
    </row>
    <row r="819195" spans="7:7">
      <c r="G819195" t="s">
        <v>1553</v>
      </c>
    </row>
    <row r="819196" spans="7:7">
      <c r="G819196" t="s">
        <v>1553</v>
      </c>
    </row>
    <row r="819197" spans="7:7">
      <c r="G819197" t="s">
        <v>1553</v>
      </c>
    </row>
    <row r="819198" spans="7:7">
      <c r="G819198" t="s">
        <v>1569</v>
      </c>
    </row>
    <row r="819199" spans="7:7">
      <c r="G819199" t="s">
        <v>1569</v>
      </c>
    </row>
    <row r="819200" spans="7:7">
      <c r="G819200" t="s">
        <v>1569</v>
      </c>
    </row>
    <row r="819201" spans="7:7">
      <c r="G819201" t="s">
        <v>1569</v>
      </c>
    </row>
    <row r="819202" spans="7:7">
      <c r="G819202" t="s">
        <v>1569</v>
      </c>
    </row>
    <row r="819203" spans="7:7">
      <c r="G819203" t="s">
        <v>1553</v>
      </c>
    </row>
    <row r="819204" spans="7:7">
      <c r="G819204" t="s">
        <v>1553</v>
      </c>
    </row>
    <row r="819214" spans="7:7">
      <c r="G819214" t="s">
        <v>1553</v>
      </c>
    </row>
    <row r="819215" spans="7:7">
      <c r="G819215" t="s">
        <v>1569</v>
      </c>
    </row>
    <row r="819216" spans="7:7">
      <c r="G819216" t="s">
        <v>1580</v>
      </c>
    </row>
    <row r="819217" spans="7:7">
      <c r="G819217" t="s">
        <v>1569</v>
      </c>
    </row>
    <row r="819218" spans="7:7">
      <c r="G819218" t="s">
        <v>1569</v>
      </c>
    </row>
    <row r="819219" spans="7:7">
      <c r="G819219" t="s">
        <v>1569</v>
      </c>
    </row>
    <row r="819220" spans="7:7">
      <c r="G819220" t="s">
        <v>1569</v>
      </c>
    </row>
    <row r="819221" spans="7:7">
      <c r="G819221" t="s">
        <v>1569</v>
      </c>
    </row>
    <row r="819222" spans="7:7">
      <c r="G819222" t="s">
        <v>1569</v>
      </c>
    </row>
    <row r="819223" spans="7:7">
      <c r="G819223" t="s">
        <v>1569</v>
      </c>
    </row>
    <row r="819224" spans="7:7">
      <c r="G819224" t="s">
        <v>1569</v>
      </c>
    </row>
    <row r="819225" spans="7:7">
      <c r="G819225" t="s">
        <v>1569</v>
      </c>
    </row>
    <row r="819226" spans="7:7">
      <c r="G819226" t="s">
        <v>1553</v>
      </c>
    </row>
    <row r="819227" spans="7:7">
      <c r="G819227" t="s">
        <v>1569</v>
      </c>
    </row>
    <row r="819228" spans="7:7">
      <c r="G819228" t="s">
        <v>1569</v>
      </c>
    </row>
    <row r="835573" spans="7:7">
      <c r="G835573" t="s">
        <v>1553</v>
      </c>
    </row>
    <row r="835574" spans="7:7">
      <c r="G835574" t="s">
        <v>1553</v>
      </c>
    </row>
    <row r="835575" spans="7:7">
      <c r="G835575" t="s">
        <v>1580</v>
      </c>
    </row>
    <row r="835576" spans="7:7">
      <c r="G835576" t="s">
        <v>1553</v>
      </c>
    </row>
    <row r="835577" spans="7:7">
      <c r="G835577" t="s">
        <v>1580</v>
      </c>
    </row>
    <row r="835578" spans="7:7">
      <c r="G835578" t="s">
        <v>1580</v>
      </c>
    </row>
    <row r="835579" spans="7:7">
      <c r="G835579" t="s">
        <v>1553</v>
      </c>
    </row>
    <row r="835580" spans="7:7">
      <c r="G835580" t="s">
        <v>1553</v>
      </c>
    </row>
    <row r="835581" spans="7:7">
      <c r="G835581" t="s">
        <v>1553</v>
      </c>
    </row>
    <row r="835582" spans="7:7">
      <c r="G835582" t="s">
        <v>1569</v>
      </c>
    </row>
    <row r="835583" spans="7:7">
      <c r="G835583" t="s">
        <v>1569</v>
      </c>
    </row>
    <row r="835584" spans="7:7">
      <c r="G835584" t="s">
        <v>1569</v>
      </c>
    </row>
    <row r="835585" spans="7:7">
      <c r="G835585" t="s">
        <v>1569</v>
      </c>
    </row>
    <row r="835586" spans="7:7">
      <c r="G835586" t="s">
        <v>1569</v>
      </c>
    </row>
    <row r="835587" spans="7:7">
      <c r="G835587" t="s">
        <v>1553</v>
      </c>
    </row>
    <row r="835588" spans="7:7">
      <c r="G835588" t="s">
        <v>1553</v>
      </c>
    </row>
    <row r="835598" spans="7:7">
      <c r="G835598" t="s">
        <v>1553</v>
      </c>
    </row>
    <row r="835599" spans="7:7">
      <c r="G835599" t="s">
        <v>1569</v>
      </c>
    </row>
    <row r="835600" spans="7:7">
      <c r="G835600" t="s">
        <v>1580</v>
      </c>
    </row>
    <row r="835601" spans="7:7">
      <c r="G835601" t="s">
        <v>1569</v>
      </c>
    </row>
    <row r="835602" spans="7:7">
      <c r="G835602" t="s">
        <v>1569</v>
      </c>
    </row>
    <row r="835603" spans="7:7">
      <c r="G835603" t="s">
        <v>1569</v>
      </c>
    </row>
    <row r="835604" spans="7:7">
      <c r="G835604" t="s">
        <v>1569</v>
      </c>
    </row>
    <row r="835605" spans="7:7">
      <c r="G835605" t="s">
        <v>1569</v>
      </c>
    </row>
    <row r="835606" spans="7:7">
      <c r="G835606" t="s">
        <v>1569</v>
      </c>
    </row>
    <row r="835607" spans="7:7">
      <c r="G835607" t="s">
        <v>1569</v>
      </c>
    </row>
    <row r="835608" spans="7:7">
      <c r="G835608" t="s">
        <v>1569</v>
      </c>
    </row>
    <row r="835609" spans="7:7">
      <c r="G835609" t="s">
        <v>1569</v>
      </c>
    </row>
    <row r="835610" spans="7:7">
      <c r="G835610" t="s">
        <v>1553</v>
      </c>
    </row>
    <row r="835611" spans="7:7">
      <c r="G835611" t="s">
        <v>1569</v>
      </c>
    </row>
    <row r="835612" spans="7:7">
      <c r="G835612" t="s">
        <v>1569</v>
      </c>
    </row>
    <row r="851957" spans="7:7">
      <c r="G851957" t="s">
        <v>1553</v>
      </c>
    </row>
    <row r="851958" spans="7:7">
      <c r="G851958" t="s">
        <v>1553</v>
      </c>
    </row>
    <row r="851959" spans="7:7">
      <c r="G851959" t="s">
        <v>1580</v>
      </c>
    </row>
    <row r="851960" spans="7:7">
      <c r="G851960" t="s">
        <v>1553</v>
      </c>
    </row>
    <row r="851961" spans="7:7">
      <c r="G851961" t="s">
        <v>1580</v>
      </c>
    </row>
    <row r="851962" spans="7:7">
      <c r="G851962" t="s">
        <v>1580</v>
      </c>
    </row>
    <row r="851963" spans="7:7">
      <c r="G851963" t="s">
        <v>1553</v>
      </c>
    </row>
    <row r="851964" spans="7:7">
      <c r="G851964" t="s">
        <v>1553</v>
      </c>
    </row>
    <row r="851965" spans="7:7">
      <c r="G851965" t="s">
        <v>1553</v>
      </c>
    </row>
    <row r="851966" spans="7:7">
      <c r="G851966" t="s">
        <v>1569</v>
      </c>
    </row>
    <row r="851967" spans="7:7">
      <c r="G851967" t="s">
        <v>1569</v>
      </c>
    </row>
    <row r="851968" spans="7:7">
      <c r="G851968" t="s">
        <v>1569</v>
      </c>
    </row>
    <row r="851969" spans="7:7">
      <c r="G851969" t="s">
        <v>1569</v>
      </c>
    </row>
    <row r="851970" spans="7:7">
      <c r="G851970" t="s">
        <v>1569</v>
      </c>
    </row>
    <row r="851971" spans="7:7">
      <c r="G851971" t="s">
        <v>1553</v>
      </c>
    </row>
    <row r="851972" spans="7:7">
      <c r="G851972" t="s">
        <v>1553</v>
      </c>
    </row>
    <row r="851982" spans="7:7">
      <c r="G851982" t="s">
        <v>1553</v>
      </c>
    </row>
    <row r="851983" spans="7:7">
      <c r="G851983" t="s">
        <v>1569</v>
      </c>
    </row>
    <row r="851984" spans="7:7">
      <c r="G851984" t="s">
        <v>1580</v>
      </c>
    </row>
    <row r="851985" spans="7:7">
      <c r="G851985" t="s">
        <v>1569</v>
      </c>
    </row>
    <row r="851986" spans="7:7">
      <c r="G851986" t="s">
        <v>1569</v>
      </c>
    </row>
    <row r="851987" spans="7:7">
      <c r="G851987" t="s">
        <v>1569</v>
      </c>
    </row>
    <row r="851988" spans="7:7">
      <c r="G851988" t="s">
        <v>1569</v>
      </c>
    </row>
    <row r="851989" spans="7:7">
      <c r="G851989" t="s">
        <v>1569</v>
      </c>
    </row>
    <row r="851990" spans="7:7">
      <c r="G851990" t="s">
        <v>1569</v>
      </c>
    </row>
    <row r="851991" spans="7:7">
      <c r="G851991" t="s">
        <v>1569</v>
      </c>
    </row>
    <row r="851992" spans="7:7">
      <c r="G851992" t="s">
        <v>1569</v>
      </c>
    </row>
    <row r="851993" spans="7:7">
      <c r="G851993" t="s">
        <v>1569</v>
      </c>
    </row>
    <row r="851994" spans="7:7">
      <c r="G851994" t="s">
        <v>1553</v>
      </c>
    </row>
    <row r="851995" spans="7:7">
      <c r="G851995" t="s">
        <v>1569</v>
      </c>
    </row>
    <row r="851996" spans="7:7">
      <c r="G851996" t="s">
        <v>1569</v>
      </c>
    </row>
    <row r="868341" spans="7:7">
      <c r="G868341" t="s">
        <v>1553</v>
      </c>
    </row>
    <row r="868342" spans="7:7">
      <c r="G868342" t="s">
        <v>1553</v>
      </c>
    </row>
    <row r="868343" spans="7:7">
      <c r="G868343" t="s">
        <v>1580</v>
      </c>
    </row>
    <row r="868344" spans="7:7">
      <c r="G868344" t="s">
        <v>1553</v>
      </c>
    </row>
    <row r="868345" spans="7:7">
      <c r="G868345" t="s">
        <v>1580</v>
      </c>
    </row>
    <row r="868346" spans="7:7">
      <c r="G868346" t="s">
        <v>1580</v>
      </c>
    </row>
    <row r="868347" spans="7:7">
      <c r="G868347" t="s">
        <v>1553</v>
      </c>
    </row>
    <row r="868348" spans="7:7">
      <c r="G868348" t="s">
        <v>1553</v>
      </c>
    </row>
    <row r="868349" spans="7:7">
      <c r="G868349" t="s">
        <v>1553</v>
      </c>
    </row>
    <row r="868350" spans="7:7">
      <c r="G868350" t="s">
        <v>1569</v>
      </c>
    </row>
    <row r="868351" spans="7:7">
      <c r="G868351" t="s">
        <v>1569</v>
      </c>
    </row>
    <row r="868352" spans="7:7">
      <c r="G868352" t="s">
        <v>1569</v>
      </c>
    </row>
    <row r="868353" spans="7:7">
      <c r="G868353" t="s">
        <v>1569</v>
      </c>
    </row>
    <row r="868354" spans="7:7">
      <c r="G868354" t="s">
        <v>1569</v>
      </c>
    </row>
    <row r="868355" spans="7:7">
      <c r="G868355" t="s">
        <v>1553</v>
      </c>
    </row>
    <row r="868356" spans="7:7">
      <c r="G868356" t="s">
        <v>1553</v>
      </c>
    </row>
    <row r="868366" spans="7:7">
      <c r="G868366" t="s">
        <v>1553</v>
      </c>
    </row>
    <row r="868367" spans="7:7">
      <c r="G868367" t="s">
        <v>1569</v>
      </c>
    </row>
    <row r="868368" spans="7:7">
      <c r="G868368" t="s">
        <v>1580</v>
      </c>
    </row>
    <row r="868369" spans="7:7">
      <c r="G868369" t="s">
        <v>1569</v>
      </c>
    </row>
    <row r="868370" spans="7:7">
      <c r="G868370" t="s">
        <v>1569</v>
      </c>
    </row>
    <row r="868371" spans="7:7">
      <c r="G868371" t="s">
        <v>1569</v>
      </c>
    </row>
    <row r="868372" spans="7:7">
      <c r="G868372" t="s">
        <v>1569</v>
      </c>
    </row>
    <row r="868373" spans="7:7">
      <c r="G868373" t="s">
        <v>1569</v>
      </c>
    </row>
    <row r="868374" spans="7:7">
      <c r="G868374" t="s">
        <v>1569</v>
      </c>
    </row>
    <row r="868375" spans="7:7">
      <c r="G868375" t="s">
        <v>1569</v>
      </c>
    </row>
    <row r="868376" spans="7:7">
      <c r="G868376" t="s">
        <v>1569</v>
      </c>
    </row>
    <row r="868377" spans="7:7">
      <c r="G868377" t="s">
        <v>1569</v>
      </c>
    </row>
    <row r="868378" spans="7:7">
      <c r="G868378" t="s">
        <v>1553</v>
      </c>
    </row>
    <row r="868379" spans="7:7">
      <c r="G868379" t="s">
        <v>1569</v>
      </c>
    </row>
    <row r="868380" spans="7:7">
      <c r="G868380" t="s">
        <v>1569</v>
      </c>
    </row>
    <row r="884725" spans="7:7">
      <c r="G884725" t="s">
        <v>1553</v>
      </c>
    </row>
    <row r="884726" spans="7:7">
      <c r="G884726" t="s">
        <v>1553</v>
      </c>
    </row>
    <row r="884727" spans="7:7">
      <c r="G884727" t="s">
        <v>1580</v>
      </c>
    </row>
    <row r="884728" spans="7:7">
      <c r="G884728" t="s">
        <v>1553</v>
      </c>
    </row>
    <row r="884729" spans="7:7">
      <c r="G884729" t="s">
        <v>1580</v>
      </c>
    </row>
    <row r="884730" spans="7:7">
      <c r="G884730" t="s">
        <v>1580</v>
      </c>
    </row>
    <row r="884731" spans="7:7">
      <c r="G884731" t="s">
        <v>1553</v>
      </c>
    </row>
    <row r="884732" spans="7:7">
      <c r="G884732" t="s">
        <v>1553</v>
      </c>
    </row>
    <row r="884733" spans="7:7">
      <c r="G884733" t="s">
        <v>1553</v>
      </c>
    </row>
    <row r="884734" spans="7:7">
      <c r="G884734" t="s">
        <v>1569</v>
      </c>
    </row>
    <row r="884735" spans="7:7">
      <c r="G884735" t="s">
        <v>1569</v>
      </c>
    </row>
    <row r="884736" spans="7:7">
      <c r="G884736" t="s">
        <v>1569</v>
      </c>
    </row>
    <row r="884737" spans="7:7">
      <c r="G884737" t="s">
        <v>1569</v>
      </c>
    </row>
    <row r="884738" spans="7:7">
      <c r="G884738" t="s">
        <v>1569</v>
      </c>
    </row>
    <row r="884739" spans="7:7">
      <c r="G884739" t="s">
        <v>1553</v>
      </c>
    </row>
    <row r="884740" spans="7:7">
      <c r="G884740" t="s">
        <v>1553</v>
      </c>
    </row>
    <row r="884750" spans="7:7">
      <c r="G884750" t="s">
        <v>1553</v>
      </c>
    </row>
    <row r="884751" spans="7:7">
      <c r="G884751" t="s">
        <v>1569</v>
      </c>
    </row>
    <row r="884752" spans="7:7">
      <c r="G884752" t="s">
        <v>1580</v>
      </c>
    </row>
    <row r="884753" spans="7:7">
      <c r="G884753" t="s">
        <v>1569</v>
      </c>
    </row>
    <row r="884754" spans="7:7">
      <c r="G884754" t="s">
        <v>1569</v>
      </c>
    </row>
    <row r="884755" spans="7:7">
      <c r="G884755" t="s">
        <v>1569</v>
      </c>
    </row>
    <row r="884756" spans="7:7">
      <c r="G884756" t="s">
        <v>1569</v>
      </c>
    </row>
    <row r="884757" spans="7:7">
      <c r="G884757" t="s">
        <v>1569</v>
      </c>
    </row>
    <row r="884758" spans="7:7">
      <c r="G884758" t="s">
        <v>1569</v>
      </c>
    </row>
    <row r="884759" spans="7:7">
      <c r="G884759" t="s">
        <v>1569</v>
      </c>
    </row>
    <row r="884760" spans="7:7">
      <c r="G884760" t="s">
        <v>1569</v>
      </c>
    </row>
    <row r="884761" spans="7:7">
      <c r="G884761" t="s">
        <v>1569</v>
      </c>
    </row>
    <row r="884762" spans="7:7">
      <c r="G884762" t="s">
        <v>1553</v>
      </c>
    </row>
    <row r="884763" spans="7:7">
      <c r="G884763" t="s">
        <v>1569</v>
      </c>
    </row>
    <row r="884764" spans="7:7">
      <c r="G884764" t="s">
        <v>1569</v>
      </c>
    </row>
    <row r="901109" spans="7:7">
      <c r="G901109" t="s">
        <v>1553</v>
      </c>
    </row>
    <row r="901110" spans="7:7">
      <c r="G901110" t="s">
        <v>1553</v>
      </c>
    </row>
    <row r="901111" spans="7:7">
      <c r="G901111" t="s">
        <v>1580</v>
      </c>
    </row>
    <row r="901112" spans="7:7">
      <c r="G901112" t="s">
        <v>1553</v>
      </c>
    </row>
    <row r="901113" spans="7:7">
      <c r="G901113" t="s">
        <v>1580</v>
      </c>
    </row>
    <row r="901114" spans="7:7">
      <c r="G901114" t="s">
        <v>1580</v>
      </c>
    </row>
    <row r="901115" spans="7:7">
      <c r="G901115" t="s">
        <v>1553</v>
      </c>
    </row>
    <row r="901116" spans="7:7">
      <c r="G901116" t="s">
        <v>1553</v>
      </c>
    </row>
    <row r="901117" spans="7:7">
      <c r="G901117" t="s">
        <v>1553</v>
      </c>
    </row>
    <row r="901118" spans="7:7">
      <c r="G901118" t="s">
        <v>1569</v>
      </c>
    </row>
    <row r="901119" spans="7:7">
      <c r="G901119" t="s">
        <v>1569</v>
      </c>
    </row>
    <row r="901120" spans="7:7">
      <c r="G901120" t="s">
        <v>1569</v>
      </c>
    </row>
    <row r="901121" spans="7:7">
      <c r="G901121" t="s">
        <v>1569</v>
      </c>
    </row>
    <row r="901122" spans="7:7">
      <c r="G901122" t="s">
        <v>1569</v>
      </c>
    </row>
    <row r="901123" spans="7:7">
      <c r="G901123" t="s">
        <v>1553</v>
      </c>
    </row>
    <row r="901124" spans="7:7">
      <c r="G901124" t="s">
        <v>1553</v>
      </c>
    </row>
    <row r="901134" spans="7:7">
      <c r="G901134" t="s">
        <v>1553</v>
      </c>
    </row>
    <row r="901135" spans="7:7">
      <c r="G901135" t="s">
        <v>1569</v>
      </c>
    </row>
    <row r="901136" spans="7:7">
      <c r="G901136" t="s">
        <v>1580</v>
      </c>
    </row>
    <row r="901137" spans="7:7">
      <c r="G901137" t="s">
        <v>1569</v>
      </c>
    </row>
    <row r="901138" spans="7:7">
      <c r="G901138" t="s">
        <v>1569</v>
      </c>
    </row>
    <row r="901139" spans="7:7">
      <c r="G901139" t="s">
        <v>1569</v>
      </c>
    </row>
    <row r="901140" spans="7:7">
      <c r="G901140" t="s">
        <v>1569</v>
      </c>
    </row>
    <row r="901141" spans="7:7">
      <c r="G901141" t="s">
        <v>1569</v>
      </c>
    </row>
    <row r="901142" spans="7:7">
      <c r="G901142" t="s">
        <v>1569</v>
      </c>
    </row>
    <row r="901143" spans="7:7">
      <c r="G901143" t="s">
        <v>1569</v>
      </c>
    </row>
    <row r="901144" spans="7:7">
      <c r="G901144" t="s">
        <v>1569</v>
      </c>
    </row>
    <row r="901145" spans="7:7">
      <c r="G901145" t="s">
        <v>1569</v>
      </c>
    </row>
    <row r="901146" spans="7:7">
      <c r="G901146" t="s">
        <v>1553</v>
      </c>
    </row>
    <row r="901147" spans="7:7">
      <c r="G901147" t="s">
        <v>1569</v>
      </c>
    </row>
    <row r="901148" spans="7:7">
      <c r="G901148" t="s">
        <v>1569</v>
      </c>
    </row>
    <row r="917493" spans="7:7">
      <c r="G917493" t="s">
        <v>1553</v>
      </c>
    </row>
    <row r="917494" spans="7:7">
      <c r="G917494" t="s">
        <v>1553</v>
      </c>
    </row>
    <row r="917495" spans="7:7">
      <c r="G917495" t="s">
        <v>1580</v>
      </c>
    </row>
    <row r="917496" spans="7:7">
      <c r="G917496" t="s">
        <v>1553</v>
      </c>
    </row>
    <row r="917497" spans="7:7">
      <c r="G917497" t="s">
        <v>1580</v>
      </c>
    </row>
    <row r="917498" spans="7:7">
      <c r="G917498" t="s">
        <v>1580</v>
      </c>
    </row>
    <row r="917499" spans="7:7">
      <c r="G917499" t="s">
        <v>1553</v>
      </c>
    </row>
    <row r="917500" spans="7:7">
      <c r="G917500" t="s">
        <v>1553</v>
      </c>
    </row>
    <row r="917501" spans="7:7">
      <c r="G917501" t="s">
        <v>1553</v>
      </c>
    </row>
    <row r="917502" spans="7:7">
      <c r="G917502" t="s">
        <v>1569</v>
      </c>
    </row>
    <row r="917503" spans="7:7">
      <c r="G917503" t="s">
        <v>1569</v>
      </c>
    </row>
    <row r="917504" spans="7:7">
      <c r="G917504" t="s">
        <v>1569</v>
      </c>
    </row>
    <row r="917505" spans="7:7">
      <c r="G917505" t="s">
        <v>1569</v>
      </c>
    </row>
    <row r="917506" spans="7:7">
      <c r="G917506" t="s">
        <v>1569</v>
      </c>
    </row>
    <row r="917507" spans="7:7">
      <c r="G917507" t="s">
        <v>1553</v>
      </c>
    </row>
    <row r="917508" spans="7:7">
      <c r="G917508" t="s">
        <v>1553</v>
      </c>
    </row>
    <row r="917518" spans="7:7">
      <c r="G917518" t="s">
        <v>1553</v>
      </c>
    </row>
    <row r="917519" spans="7:7">
      <c r="G917519" t="s">
        <v>1569</v>
      </c>
    </row>
    <row r="917520" spans="7:7">
      <c r="G917520" t="s">
        <v>1580</v>
      </c>
    </row>
    <row r="917521" spans="7:7">
      <c r="G917521" t="s">
        <v>1569</v>
      </c>
    </row>
    <row r="917522" spans="7:7">
      <c r="G917522" t="s">
        <v>1569</v>
      </c>
    </row>
    <row r="917523" spans="7:7">
      <c r="G917523" t="s">
        <v>1569</v>
      </c>
    </row>
    <row r="917524" spans="7:7">
      <c r="G917524" t="s">
        <v>1569</v>
      </c>
    </row>
    <row r="917525" spans="7:7">
      <c r="G917525" t="s">
        <v>1569</v>
      </c>
    </row>
    <row r="917526" spans="7:7">
      <c r="G917526" t="s">
        <v>1569</v>
      </c>
    </row>
    <row r="917527" spans="7:7">
      <c r="G917527" t="s">
        <v>1569</v>
      </c>
    </row>
    <row r="917528" spans="7:7">
      <c r="G917528" t="s">
        <v>1569</v>
      </c>
    </row>
    <row r="917529" spans="7:7">
      <c r="G917529" t="s">
        <v>1569</v>
      </c>
    </row>
    <row r="917530" spans="7:7">
      <c r="G917530" t="s">
        <v>1553</v>
      </c>
    </row>
    <row r="917531" spans="7:7">
      <c r="G917531" t="s">
        <v>1569</v>
      </c>
    </row>
    <row r="917532" spans="7:7">
      <c r="G917532" t="s">
        <v>1569</v>
      </c>
    </row>
    <row r="933877" spans="7:7">
      <c r="G933877" t="s">
        <v>1553</v>
      </c>
    </row>
    <row r="933878" spans="7:7">
      <c r="G933878" t="s">
        <v>1553</v>
      </c>
    </row>
    <row r="933879" spans="7:7">
      <c r="G933879" t="s">
        <v>1580</v>
      </c>
    </row>
    <row r="933880" spans="7:7">
      <c r="G933880" t="s">
        <v>1553</v>
      </c>
    </row>
    <row r="933881" spans="7:7">
      <c r="G933881" t="s">
        <v>1580</v>
      </c>
    </row>
    <row r="933882" spans="7:7">
      <c r="G933882" t="s">
        <v>1580</v>
      </c>
    </row>
    <row r="933883" spans="7:7">
      <c r="G933883" t="s">
        <v>1553</v>
      </c>
    </row>
    <row r="933884" spans="7:7">
      <c r="G933884" t="s">
        <v>1553</v>
      </c>
    </row>
    <row r="933885" spans="7:7">
      <c r="G933885" t="s">
        <v>1553</v>
      </c>
    </row>
    <row r="933886" spans="7:7">
      <c r="G933886" t="s">
        <v>1569</v>
      </c>
    </row>
    <row r="933887" spans="7:7">
      <c r="G933887" t="s">
        <v>1569</v>
      </c>
    </row>
    <row r="933888" spans="7:7">
      <c r="G933888" t="s">
        <v>1569</v>
      </c>
    </row>
    <row r="933889" spans="7:7">
      <c r="G933889" t="s">
        <v>1569</v>
      </c>
    </row>
    <row r="933890" spans="7:7">
      <c r="G933890" t="s">
        <v>1569</v>
      </c>
    </row>
    <row r="933891" spans="7:7">
      <c r="G933891" t="s">
        <v>1553</v>
      </c>
    </row>
    <row r="933892" spans="7:7">
      <c r="G933892" t="s">
        <v>1553</v>
      </c>
    </row>
    <row r="933902" spans="7:7">
      <c r="G933902" t="s">
        <v>1553</v>
      </c>
    </row>
    <row r="933903" spans="7:7">
      <c r="G933903" t="s">
        <v>1569</v>
      </c>
    </row>
    <row r="933904" spans="7:7">
      <c r="G933904" t="s">
        <v>1580</v>
      </c>
    </row>
    <row r="933905" spans="7:7">
      <c r="G933905" t="s">
        <v>1569</v>
      </c>
    </row>
    <row r="933906" spans="7:7">
      <c r="G933906" t="s">
        <v>1569</v>
      </c>
    </row>
    <row r="933907" spans="7:7">
      <c r="G933907" t="s">
        <v>1569</v>
      </c>
    </row>
    <row r="933908" spans="7:7">
      <c r="G933908" t="s">
        <v>1569</v>
      </c>
    </row>
    <row r="933909" spans="7:7">
      <c r="G933909" t="s">
        <v>1569</v>
      </c>
    </row>
    <row r="933910" spans="7:7">
      <c r="G933910" t="s">
        <v>1569</v>
      </c>
    </row>
    <row r="933911" spans="7:7">
      <c r="G933911" t="s">
        <v>1569</v>
      </c>
    </row>
    <row r="933912" spans="7:7">
      <c r="G933912" t="s">
        <v>1569</v>
      </c>
    </row>
    <row r="933913" spans="7:7">
      <c r="G933913" t="s">
        <v>1569</v>
      </c>
    </row>
    <row r="933914" spans="7:7">
      <c r="G933914" t="s">
        <v>1553</v>
      </c>
    </row>
    <row r="933915" spans="7:7">
      <c r="G933915" t="s">
        <v>1569</v>
      </c>
    </row>
    <row r="933916" spans="7:7">
      <c r="G933916" t="s">
        <v>1569</v>
      </c>
    </row>
    <row r="950261" spans="7:7">
      <c r="G950261" t="s">
        <v>1553</v>
      </c>
    </row>
    <row r="950262" spans="7:7">
      <c r="G950262" t="s">
        <v>1553</v>
      </c>
    </row>
    <row r="950263" spans="7:7">
      <c r="G950263" t="s">
        <v>1580</v>
      </c>
    </row>
    <row r="950264" spans="7:7">
      <c r="G950264" t="s">
        <v>1553</v>
      </c>
    </row>
    <row r="950265" spans="7:7">
      <c r="G950265" t="s">
        <v>1580</v>
      </c>
    </row>
    <row r="950266" spans="7:7">
      <c r="G950266" t="s">
        <v>1580</v>
      </c>
    </row>
    <row r="950267" spans="7:7">
      <c r="G950267" t="s">
        <v>1553</v>
      </c>
    </row>
    <row r="950268" spans="7:7">
      <c r="G950268" t="s">
        <v>1553</v>
      </c>
    </row>
    <row r="950269" spans="7:7">
      <c r="G950269" t="s">
        <v>1553</v>
      </c>
    </row>
    <row r="950270" spans="7:7">
      <c r="G950270" t="s">
        <v>1569</v>
      </c>
    </row>
    <row r="950271" spans="7:7">
      <c r="G950271" t="s">
        <v>1569</v>
      </c>
    </row>
    <row r="950272" spans="7:7">
      <c r="G950272" t="s">
        <v>1569</v>
      </c>
    </row>
    <row r="950273" spans="7:7">
      <c r="G950273" t="s">
        <v>1569</v>
      </c>
    </row>
    <row r="950274" spans="7:7">
      <c r="G950274" t="s">
        <v>1569</v>
      </c>
    </row>
    <row r="950275" spans="7:7">
      <c r="G950275" t="s">
        <v>1553</v>
      </c>
    </row>
    <row r="950276" spans="7:7">
      <c r="G950276" t="s">
        <v>1553</v>
      </c>
    </row>
    <row r="950286" spans="7:7">
      <c r="G950286" t="s">
        <v>1553</v>
      </c>
    </row>
    <row r="950287" spans="7:7">
      <c r="G950287" t="s">
        <v>1569</v>
      </c>
    </row>
    <row r="950288" spans="7:7">
      <c r="G950288" t="s">
        <v>1580</v>
      </c>
    </row>
    <row r="950289" spans="7:7">
      <c r="G950289" t="s">
        <v>1569</v>
      </c>
    </row>
    <row r="950290" spans="7:7">
      <c r="G950290" t="s">
        <v>1569</v>
      </c>
    </row>
    <row r="950291" spans="7:7">
      <c r="G950291" t="s">
        <v>1569</v>
      </c>
    </row>
    <row r="950292" spans="7:7">
      <c r="G950292" t="s">
        <v>1569</v>
      </c>
    </row>
    <row r="950293" spans="7:7">
      <c r="G950293" t="s">
        <v>1569</v>
      </c>
    </row>
    <row r="950294" spans="7:7">
      <c r="G950294" t="s">
        <v>1569</v>
      </c>
    </row>
    <row r="950295" spans="7:7">
      <c r="G950295" t="s">
        <v>1569</v>
      </c>
    </row>
    <row r="950296" spans="7:7">
      <c r="G950296" t="s">
        <v>1569</v>
      </c>
    </row>
    <row r="950297" spans="7:7">
      <c r="G950297" t="s">
        <v>1569</v>
      </c>
    </row>
    <row r="950298" spans="7:7">
      <c r="G950298" t="s">
        <v>1553</v>
      </c>
    </row>
    <row r="950299" spans="7:7">
      <c r="G950299" t="s">
        <v>1569</v>
      </c>
    </row>
    <row r="950300" spans="7:7">
      <c r="G950300" t="s">
        <v>1569</v>
      </c>
    </row>
    <row r="966645" spans="7:7">
      <c r="G966645" t="s">
        <v>1553</v>
      </c>
    </row>
    <row r="966646" spans="7:7">
      <c r="G966646" t="s">
        <v>1553</v>
      </c>
    </row>
    <row r="966647" spans="7:7">
      <c r="G966647" t="s">
        <v>1580</v>
      </c>
    </row>
    <row r="966648" spans="7:7">
      <c r="G966648" t="s">
        <v>1553</v>
      </c>
    </row>
    <row r="966649" spans="7:7">
      <c r="G966649" t="s">
        <v>1580</v>
      </c>
    </row>
    <row r="966650" spans="7:7">
      <c r="G966650" t="s">
        <v>1580</v>
      </c>
    </row>
    <row r="966651" spans="7:7">
      <c r="G966651" t="s">
        <v>1553</v>
      </c>
    </row>
    <row r="966652" spans="7:7">
      <c r="G966652" t="s">
        <v>1553</v>
      </c>
    </row>
    <row r="966653" spans="7:7">
      <c r="G966653" t="s">
        <v>1553</v>
      </c>
    </row>
    <row r="966654" spans="7:7">
      <c r="G966654" t="s">
        <v>1569</v>
      </c>
    </row>
    <row r="966655" spans="7:7">
      <c r="G966655" t="s">
        <v>1569</v>
      </c>
    </row>
    <row r="966656" spans="7:7">
      <c r="G966656" t="s">
        <v>1569</v>
      </c>
    </row>
    <row r="966657" spans="7:7">
      <c r="G966657" t="s">
        <v>1569</v>
      </c>
    </row>
    <row r="966658" spans="7:7">
      <c r="G966658" t="s">
        <v>1569</v>
      </c>
    </row>
    <row r="966659" spans="7:7">
      <c r="G966659" t="s">
        <v>1553</v>
      </c>
    </row>
    <row r="966660" spans="7:7">
      <c r="G966660" t="s">
        <v>1553</v>
      </c>
    </row>
    <row r="966670" spans="7:7">
      <c r="G966670" t="s">
        <v>1553</v>
      </c>
    </row>
    <row r="966671" spans="7:7">
      <c r="G966671" t="s">
        <v>1569</v>
      </c>
    </row>
    <row r="966672" spans="7:7">
      <c r="G966672" t="s">
        <v>1580</v>
      </c>
    </row>
    <row r="966673" spans="7:7">
      <c r="G966673" t="s">
        <v>1569</v>
      </c>
    </row>
    <row r="966674" spans="7:7">
      <c r="G966674" t="s">
        <v>1569</v>
      </c>
    </row>
    <row r="966675" spans="7:7">
      <c r="G966675" t="s">
        <v>1569</v>
      </c>
    </row>
    <row r="966676" spans="7:7">
      <c r="G966676" t="s">
        <v>1569</v>
      </c>
    </row>
    <row r="966677" spans="7:7">
      <c r="G966677" t="s">
        <v>1569</v>
      </c>
    </row>
    <row r="966678" spans="7:7">
      <c r="G966678" t="s">
        <v>1569</v>
      </c>
    </row>
    <row r="966679" spans="7:7">
      <c r="G966679" t="s">
        <v>1569</v>
      </c>
    </row>
    <row r="966680" spans="7:7">
      <c r="G966680" t="s">
        <v>1569</v>
      </c>
    </row>
    <row r="966681" spans="7:7">
      <c r="G966681" t="s">
        <v>1569</v>
      </c>
    </row>
    <row r="966682" spans="7:7">
      <c r="G966682" t="s">
        <v>1553</v>
      </c>
    </row>
    <row r="966683" spans="7:7">
      <c r="G966683" t="s">
        <v>1569</v>
      </c>
    </row>
    <row r="966684" spans="7:7">
      <c r="G966684" t="s">
        <v>1569</v>
      </c>
    </row>
    <row r="983029" spans="7:7">
      <c r="G983029" t="s">
        <v>1553</v>
      </c>
    </row>
    <row r="983030" spans="7:7">
      <c r="G983030" t="s">
        <v>1553</v>
      </c>
    </row>
    <row r="983031" spans="7:7">
      <c r="G983031" t="s">
        <v>1580</v>
      </c>
    </row>
    <row r="983032" spans="7:7">
      <c r="G983032" t="s">
        <v>1553</v>
      </c>
    </row>
    <row r="983033" spans="7:7">
      <c r="G983033" t="s">
        <v>1580</v>
      </c>
    </row>
    <row r="983034" spans="7:7">
      <c r="G983034" t="s">
        <v>1580</v>
      </c>
    </row>
    <row r="983035" spans="7:7">
      <c r="G983035" t="s">
        <v>1553</v>
      </c>
    </row>
    <row r="983036" spans="7:7">
      <c r="G983036" t="s">
        <v>1553</v>
      </c>
    </row>
    <row r="983037" spans="7:7">
      <c r="G983037" t="s">
        <v>1553</v>
      </c>
    </row>
    <row r="983038" spans="7:7">
      <c r="G983038" t="s">
        <v>1569</v>
      </c>
    </row>
    <row r="983039" spans="7:7">
      <c r="G983039" t="s">
        <v>1569</v>
      </c>
    </row>
    <row r="983040" spans="7:7">
      <c r="G983040" t="s">
        <v>1569</v>
      </c>
    </row>
    <row r="983041" spans="7:7">
      <c r="G983041" t="s">
        <v>1569</v>
      </c>
    </row>
    <row r="983042" spans="7:7">
      <c r="G983042" t="s">
        <v>1569</v>
      </c>
    </row>
    <row r="983043" spans="7:7">
      <c r="G983043" t="s">
        <v>1553</v>
      </c>
    </row>
    <row r="983044" spans="7:7">
      <c r="G983044" t="s">
        <v>1553</v>
      </c>
    </row>
    <row r="983054" spans="7:7">
      <c r="G983054" t="s">
        <v>1553</v>
      </c>
    </row>
    <row r="983055" spans="7:7">
      <c r="G983055" t="s">
        <v>1569</v>
      </c>
    </row>
    <row r="983056" spans="7:7">
      <c r="G983056" t="s">
        <v>1580</v>
      </c>
    </row>
    <row r="983057" spans="7:7">
      <c r="G983057" t="s">
        <v>1569</v>
      </c>
    </row>
    <row r="983058" spans="7:7">
      <c r="G983058" t="s">
        <v>1569</v>
      </c>
    </row>
    <row r="983059" spans="7:7">
      <c r="G983059" t="s">
        <v>1569</v>
      </c>
    </row>
    <row r="983060" spans="7:7">
      <c r="G983060" t="s">
        <v>1569</v>
      </c>
    </row>
    <row r="983061" spans="7:7">
      <c r="G983061" t="s">
        <v>1569</v>
      </c>
    </row>
    <row r="983062" spans="7:7">
      <c r="G983062" t="s">
        <v>1569</v>
      </c>
    </row>
    <row r="983063" spans="7:7">
      <c r="G983063" t="s">
        <v>1569</v>
      </c>
    </row>
    <row r="983064" spans="7:7">
      <c r="G983064" t="s">
        <v>1569</v>
      </c>
    </row>
    <row r="983065" spans="7:7">
      <c r="G983065" t="s">
        <v>1569</v>
      </c>
    </row>
    <row r="983066" spans="7:7">
      <c r="G983066" t="s">
        <v>1553</v>
      </c>
    </row>
    <row r="983067" spans="7:7">
      <c r="G983067" t="s">
        <v>1569</v>
      </c>
    </row>
    <row r="983068" spans="7:7">
      <c r="G983068" t="s">
        <v>1569</v>
      </c>
    </row>
    <row r="999413" spans="7:7">
      <c r="G999413" t="s">
        <v>1553</v>
      </c>
    </row>
    <row r="999414" spans="7:7">
      <c r="G999414" t="s">
        <v>1553</v>
      </c>
    </row>
    <row r="999415" spans="7:7">
      <c r="G999415" t="s">
        <v>1580</v>
      </c>
    </row>
    <row r="999416" spans="7:7">
      <c r="G999416" t="s">
        <v>1553</v>
      </c>
    </row>
    <row r="999417" spans="7:7">
      <c r="G999417" t="s">
        <v>1580</v>
      </c>
    </row>
    <row r="999418" spans="7:7">
      <c r="G999418" t="s">
        <v>1580</v>
      </c>
    </row>
    <row r="999419" spans="7:7">
      <c r="G999419" t="s">
        <v>1553</v>
      </c>
    </row>
    <row r="999420" spans="7:7">
      <c r="G999420" t="s">
        <v>1553</v>
      </c>
    </row>
    <row r="999421" spans="7:7">
      <c r="G999421" t="s">
        <v>1553</v>
      </c>
    </row>
    <row r="999422" spans="7:7">
      <c r="G999422" t="s">
        <v>1569</v>
      </c>
    </row>
    <row r="999423" spans="7:7">
      <c r="G999423" t="s">
        <v>1569</v>
      </c>
    </row>
    <row r="999424" spans="7:7">
      <c r="G999424" t="s">
        <v>1569</v>
      </c>
    </row>
    <row r="999425" spans="7:7">
      <c r="G999425" t="s">
        <v>1569</v>
      </c>
    </row>
    <row r="999426" spans="7:7">
      <c r="G999426" t="s">
        <v>1569</v>
      </c>
    </row>
    <row r="999427" spans="7:7">
      <c r="G999427" t="s">
        <v>1553</v>
      </c>
    </row>
    <row r="999428" spans="7:7">
      <c r="G999428" t="s">
        <v>1553</v>
      </c>
    </row>
    <row r="999438" spans="7:7">
      <c r="G999438" t="s">
        <v>1553</v>
      </c>
    </row>
    <row r="999439" spans="7:7">
      <c r="G999439" t="s">
        <v>1569</v>
      </c>
    </row>
    <row r="999440" spans="7:7">
      <c r="G999440" t="s">
        <v>1580</v>
      </c>
    </row>
    <row r="999441" spans="7:7">
      <c r="G999441" t="s">
        <v>1569</v>
      </c>
    </row>
    <row r="999442" spans="7:7">
      <c r="G999442" t="s">
        <v>1569</v>
      </c>
    </row>
    <row r="999443" spans="7:7">
      <c r="G999443" t="s">
        <v>1569</v>
      </c>
    </row>
    <row r="999444" spans="7:7">
      <c r="G999444" t="s">
        <v>1569</v>
      </c>
    </row>
    <row r="999445" spans="7:7">
      <c r="G999445" t="s">
        <v>1569</v>
      </c>
    </row>
    <row r="999446" spans="7:7">
      <c r="G999446" t="s">
        <v>1569</v>
      </c>
    </row>
    <row r="999447" spans="7:7">
      <c r="G999447" t="s">
        <v>1569</v>
      </c>
    </row>
    <row r="999448" spans="7:7">
      <c r="G999448" t="s">
        <v>1569</v>
      </c>
    </row>
    <row r="999449" spans="7:7">
      <c r="G999449" t="s">
        <v>1569</v>
      </c>
    </row>
    <row r="999450" spans="7:7">
      <c r="G999450" t="s">
        <v>1553</v>
      </c>
    </row>
    <row r="999451" spans="7:7">
      <c r="G999451" t="s">
        <v>1569</v>
      </c>
    </row>
    <row r="999452" spans="7:7">
      <c r="G999452" t="s">
        <v>1569</v>
      </c>
    </row>
    <row r="1015797" spans="7:7">
      <c r="G1015797" t="s">
        <v>1553</v>
      </c>
    </row>
    <row r="1015798" spans="7:7">
      <c r="G1015798" t="s">
        <v>1553</v>
      </c>
    </row>
    <row r="1015799" spans="7:7">
      <c r="G1015799" t="s">
        <v>1580</v>
      </c>
    </row>
    <row r="1015800" spans="7:7">
      <c r="G1015800" t="s">
        <v>1553</v>
      </c>
    </row>
    <row r="1015801" spans="7:7">
      <c r="G1015801" t="s">
        <v>1580</v>
      </c>
    </row>
    <row r="1015802" spans="7:7">
      <c r="G1015802" t="s">
        <v>1580</v>
      </c>
    </row>
    <row r="1015803" spans="7:7">
      <c r="G1015803" t="s">
        <v>1553</v>
      </c>
    </row>
    <row r="1015804" spans="7:7">
      <c r="G1015804" t="s">
        <v>1553</v>
      </c>
    </row>
    <row r="1015805" spans="7:7">
      <c r="G1015805" t="s">
        <v>1553</v>
      </c>
    </row>
    <row r="1015806" spans="7:7">
      <c r="G1015806" t="s">
        <v>1569</v>
      </c>
    </row>
    <row r="1015807" spans="7:7">
      <c r="G1015807" t="s">
        <v>1569</v>
      </c>
    </row>
    <row r="1015808" spans="7:7">
      <c r="G1015808" t="s">
        <v>1569</v>
      </c>
    </row>
    <row r="1015809" spans="7:7">
      <c r="G1015809" t="s">
        <v>1569</v>
      </c>
    </row>
    <row r="1015810" spans="7:7">
      <c r="G1015810" t="s">
        <v>1569</v>
      </c>
    </row>
    <row r="1015811" spans="7:7">
      <c r="G1015811" t="s">
        <v>1553</v>
      </c>
    </row>
    <row r="1015812" spans="7:7">
      <c r="G1015812" t="s">
        <v>1553</v>
      </c>
    </row>
    <row r="1015822" spans="7:7">
      <c r="G1015822" t="s">
        <v>1553</v>
      </c>
    </row>
    <row r="1015823" spans="7:7">
      <c r="G1015823" t="s">
        <v>1569</v>
      </c>
    </row>
    <row r="1015824" spans="7:7">
      <c r="G1015824" t="s">
        <v>1580</v>
      </c>
    </row>
    <row r="1015825" spans="7:7">
      <c r="G1015825" t="s">
        <v>1569</v>
      </c>
    </row>
    <row r="1015826" spans="7:7">
      <c r="G1015826" t="s">
        <v>1569</v>
      </c>
    </row>
    <row r="1015827" spans="7:7">
      <c r="G1015827" t="s">
        <v>1569</v>
      </c>
    </row>
    <row r="1015828" spans="7:7">
      <c r="G1015828" t="s">
        <v>1569</v>
      </c>
    </row>
    <row r="1015829" spans="7:7">
      <c r="G1015829" t="s">
        <v>1569</v>
      </c>
    </row>
    <row r="1015830" spans="7:7">
      <c r="G1015830" t="s">
        <v>1569</v>
      </c>
    </row>
    <row r="1015831" spans="7:7">
      <c r="G1015831" t="s">
        <v>1569</v>
      </c>
    </row>
    <row r="1015832" spans="7:7">
      <c r="G1015832" t="s">
        <v>1569</v>
      </c>
    </row>
    <row r="1015833" spans="7:7">
      <c r="G1015833" t="s">
        <v>1569</v>
      </c>
    </row>
    <row r="1015834" spans="7:7">
      <c r="G1015834" t="s">
        <v>1553</v>
      </c>
    </row>
    <row r="1015835" spans="7:7">
      <c r="G1015835" t="s">
        <v>1569</v>
      </c>
    </row>
    <row r="1015836" spans="7:7">
      <c r="G1015836" t="s">
        <v>1569</v>
      </c>
    </row>
    <row r="1032181" spans="7:7">
      <c r="G1032181" t="s">
        <v>1553</v>
      </c>
    </row>
    <row r="1032182" spans="7:7">
      <c r="G1032182" t="s">
        <v>1553</v>
      </c>
    </row>
    <row r="1032183" spans="7:7">
      <c r="G1032183" t="s">
        <v>1580</v>
      </c>
    </row>
    <row r="1032184" spans="7:7">
      <c r="G1032184" t="s">
        <v>1553</v>
      </c>
    </row>
    <row r="1032185" spans="7:7">
      <c r="G1032185" t="s">
        <v>1580</v>
      </c>
    </row>
    <row r="1032186" spans="7:7">
      <c r="G1032186" t="s">
        <v>1580</v>
      </c>
    </row>
    <row r="1032187" spans="7:7">
      <c r="G1032187" t="s">
        <v>1553</v>
      </c>
    </row>
    <row r="1032188" spans="7:7">
      <c r="G1032188" t="s">
        <v>1553</v>
      </c>
    </row>
    <row r="1032189" spans="7:7">
      <c r="G1032189" t="s">
        <v>1553</v>
      </c>
    </row>
    <row r="1032190" spans="7:7">
      <c r="G1032190" t="s">
        <v>1569</v>
      </c>
    </row>
    <row r="1032191" spans="7:7">
      <c r="G1032191" t="s">
        <v>1569</v>
      </c>
    </row>
    <row r="1032192" spans="7:7">
      <c r="G1032192" t="s">
        <v>1569</v>
      </c>
    </row>
    <row r="1032193" spans="7:7">
      <c r="G1032193" t="s">
        <v>1569</v>
      </c>
    </row>
    <row r="1032194" spans="7:7">
      <c r="G1032194" t="s">
        <v>1569</v>
      </c>
    </row>
    <row r="1032195" spans="7:7">
      <c r="G1032195" t="s">
        <v>1553</v>
      </c>
    </row>
    <row r="1032196" spans="7:7">
      <c r="G1032196" t="s">
        <v>1553</v>
      </c>
    </row>
    <row r="1032206" spans="7:7">
      <c r="G1032206" t="s">
        <v>1553</v>
      </c>
    </row>
    <row r="1032207" spans="7:7">
      <c r="G1032207" t="s">
        <v>1569</v>
      </c>
    </row>
    <row r="1032208" spans="7:7">
      <c r="G1032208" t="s">
        <v>1580</v>
      </c>
    </row>
    <row r="1032209" spans="7:7">
      <c r="G1032209" t="s">
        <v>1569</v>
      </c>
    </row>
    <row r="1032210" spans="7:7">
      <c r="G1032210" t="s">
        <v>1569</v>
      </c>
    </row>
    <row r="1032211" spans="7:7">
      <c r="G1032211" t="s">
        <v>1569</v>
      </c>
    </row>
    <row r="1032212" spans="7:7">
      <c r="G1032212" t="s">
        <v>1569</v>
      </c>
    </row>
    <row r="1032213" spans="7:7">
      <c r="G1032213" t="s">
        <v>1569</v>
      </c>
    </row>
    <row r="1032214" spans="7:7">
      <c r="G1032214" t="s">
        <v>1569</v>
      </c>
    </row>
    <row r="1032215" spans="7:7">
      <c r="G1032215" t="s">
        <v>1569</v>
      </c>
    </row>
    <row r="1032216" spans="7:7">
      <c r="G1032216" t="s">
        <v>1569</v>
      </c>
    </row>
    <row r="1032217" spans="7:7">
      <c r="G1032217" t="s">
        <v>1569</v>
      </c>
    </row>
    <row r="1032218" spans="7:7">
      <c r="G1032218" t="s">
        <v>1553</v>
      </c>
    </row>
    <row r="1032219" spans="7:7">
      <c r="G1032219" t="s">
        <v>1569</v>
      </c>
    </row>
    <row r="1032220" spans="7:7">
      <c r="G1032220" t="s">
        <v>1569</v>
      </c>
    </row>
  </sheetData>
  <conditionalFormatting sqref="B29:B1048576 B1:B5 A6:A11 A18:A28 A13">
    <cfRule type="duplicateValues" dxfId="1"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F37"/>
  <sheetViews>
    <sheetView showGridLines="0" topLeftCell="A14" zoomScale="85" zoomScaleNormal="85" workbookViewId="0">
      <selection activeCell="E22" sqref="E22"/>
    </sheetView>
  </sheetViews>
  <sheetFormatPr defaultRowHeight="15"/>
  <cols>
    <col min="1" max="1" width="11.28515625" customWidth="1"/>
    <col min="2" max="2" width="9.140625" customWidth="1"/>
    <col min="3" max="3" width="53.5703125" bestFit="1" customWidth="1"/>
    <col min="4" max="5" width="54.28515625" customWidth="1"/>
    <col min="6" max="6" width="53.42578125" customWidth="1"/>
  </cols>
  <sheetData>
    <row r="1" spans="1:6">
      <c r="A1" s="40" t="s">
        <v>1581</v>
      </c>
      <c r="B1" s="37" t="s">
        <v>1582</v>
      </c>
      <c r="C1" s="53" t="s">
        <v>202</v>
      </c>
      <c r="D1" s="53" t="s">
        <v>1583</v>
      </c>
      <c r="E1" s="53" t="s">
        <v>1584</v>
      </c>
      <c r="F1" s="53" t="s">
        <v>1585</v>
      </c>
    </row>
    <row r="2" spans="1:6" ht="75">
      <c r="A2" s="17">
        <v>1</v>
      </c>
      <c r="B2" s="17">
        <v>1</v>
      </c>
      <c r="C2" s="52" t="s">
        <v>1586</v>
      </c>
      <c r="D2" s="38" t="s">
        <v>1587</v>
      </c>
      <c r="E2" s="52" t="s">
        <v>1588</v>
      </c>
      <c r="F2" s="16"/>
    </row>
    <row r="3" spans="1:6" ht="60">
      <c r="A3" s="17">
        <v>2</v>
      </c>
      <c r="B3" s="17">
        <v>1</v>
      </c>
      <c r="C3" s="52" t="s">
        <v>1586</v>
      </c>
      <c r="D3" s="38" t="s">
        <v>1589</v>
      </c>
      <c r="E3" s="52" t="s">
        <v>1590</v>
      </c>
      <c r="F3" s="16"/>
    </row>
    <row r="4" spans="1:6" ht="90">
      <c r="A4" s="17">
        <v>3</v>
      </c>
      <c r="B4" s="17">
        <v>1</v>
      </c>
      <c r="C4" s="52" t="s">
        <v>1586</v>
      </c>
      <c r="D4" s="39" t="s">
        <v>1591</v>
      </c>
      <c r="E4" s="52" t="s">
        <v>1592</v>
      </c>
      <c r="F4" s="16"/>
    </row>
    <row r="5" spans="1:6" ht="90">
      <c r="A5" s="17">
        <v>4</v>
      </c>
      <c r="B5" s="17">
        <v>1</v>
      </c>
      <c r="C5" s="52" t="s">
        <v>1593</v>
      </c>
      <c r="D5" s="38" t="s">
        <v>1594</v>
      </c>
      <c r="E5" s="52" t="s">
        <v>1595</v>
      </c>
      <c r="F5" s="16"/>
    </row>
    <row r="6" spans="1:6" ht="195">
      <c r="A6" s="17">
        <v>5</v>
      </c>
      <c r="B6" s="17">
        <v>1</v>
      </c>
      <c r="C6" s="52" t="s">
        <v>1593</v>
      </c>
      <c r="D6" s="38" t="s">
        <v>1596</v>
      </c>
      <c r="E6" s="52" t="s">
        <v>1597</v>
      </c>
      <c r="F6" s="16"/>
    </row>
    <row r="7" spans="1:6" ht="90">
      <c r="A7" s="17">
        <v>6</v>
      </c>
      <c r="B7" s="17">
        <v>1</v>
      </c>
      <c r="C7" s="52" t="s">
        <v>1593</v>
      </c>
      <c r="D7" s="38" t="s">
        <v>1598</v>
      </c>
      <c r="E7" s="52" t="s">
        <v>1599</v>
      </c>
      <c r="F7" s="16"/>
    </row>
    <row r="8" spans="1:6" ht="135">
      <c r="A8" s="17">
        <v>7</v>
      </c>
      <c r="B8" s="17">
        <v>1</v>
      </c>
      <c r="C8" s="52" t="s">
        <v>1600</v>
      </c>
      <c r="D8" s="39" t="s">
        <v>1601</v>
      </c>
      <c r="E8" s="52" t="s">
        <v>1602</v>
      </c>
      <c r="F8" s="16"/>
    </row>
    <row r="9" spans="1:6" ht="90">
      <c r="A9" s="17">
        <v>8</v>
      </c>
      <c r="B9" s="17">
        <v>1</v>
      </c>
      <c r="C9" s="52" t="s">
        <v>1600</v>
      </c>
      <c r="D9" s="39" t="s">
        <v>1603</v>
      </c>
      <c r="E9" s="52" t="s">
        <v>1604</v>
      </c>
      <c r="F9" s="16"/>
    </row>
    <row r="10" spans="1:6" ht="45">
      <c r="A10" s="17">
        <v>9</v>
      </c>
      <c r="B10" s="17">
        <v>1</v>
      </c>
      <c r="C10" s="52" t="s">
        <v>1600</v>
      </c>
      <c r="D10" s="39" t="s">
        <v>1605</v>
      </c>
      <c r="E10" s="52" t="s">
        <v>1606</v>
      </c>
      <c r="F10" s="16"/>
    </row>
    <row r="11" spans="1:6" ht="60">
      <c r="A11" s="17">
        <v>10</v>
      </c>
      <c r="B11" s="17">
        <v>1</v>
      </c>
      <c r="C11" s="52" t="s">
        <v>1600</v>
      </c>
      <c r="D11" s="39" t="s">
        <v>1607</v>
      </c>
      <c r="E11" s="52" t="s">
        <v>1608</v>
      </c>
      <c r="F11" s="16"/>
    </row>
    <row r="12" spans="1:6" ht="75">
      <c r="A12" s="17">
        <v>11</v>
      </c>
      <c r="B12" s="17">
        <v>1</v>
      </c>
      <c r="C12" s="52" t="s">
        <v>1600</v>
      </c>
      <c r="D12" s="38" t="s">
        <v>1609</v>
      </c>
      <c r="E12" s="52" t="s">
        <v>1610</v>
      </c>
      <c r="F12" s="16"/>
    </row>
    <row r="13" spans="1:6" ht="75">
      <c r="A13" s="17">
        <v>12</v>
      </c>
      <c r="B13" s="17">
        <v>1</v>
      </c>
      <c r="C13" s="52" t="s">
        <v>1600</v>
      </c>
      <c r="D13" s="38" t="s">
        <v>1611</v>
      </c>
      <c r="E13" s="52" t="s">
        <v>1608</v>
      </c>
      <c r="F13" s="16"/>
    </row>
    <row r="14" spans="1:6">
      <c r="A14" s="17">
        <v>13</v>
      </c>
      <c r="B14" s="17">
        <v>1</v>
      </c>
      <c r="C14" s="52" t="s">
        <v>1600</v>
      </c>
      <c r="D14" s="38" t="s">
        <v>1612</v>
      </c>
      <c r="E14" s="52" t="s">
        <v>1608</v>
      </c>
      <c r="F14" s="16"/>
    </row>
    <row r="15" spans="1:6" ht="30">
      <c r="A15" s="17">
        <v>14</v>
      </c>
      <c r="B15" s="17">
        <v>1</v>
      </c>
      <c r="C15" s="52" t="s">
        <v>1600</v>
      </c>
      <c r="D15" s="38" t="s">
        <v>1613</v>
      </c>
      <c r="E15" s="52" t="s">
        <v>1614</v>
      </c>
      <c r="F15" s="16"/>
    </row>
    <row r="16" spans="1:6" ht="60">
      <c r="A16" s="17">
        <v>15</v>
      </c>
      <c r="B16" s="17">
        <v>1</v>
      </c>
      <c r="C16" s="52" t="s">
        <v>1600</v>
      </c>
      <c r="D16" s="52" t="s">
        <v>1615</v>
      </c>
      <c r="E16" s="52" t="s">
        <v>1616</v>
      </c>
      <c r="F16" s="25"/>
    </row>
    <row r="17" spans="1:6">
      <c r="A17" s="17">
        <v>16</v>
      </c>
      <c r="B17" s="17">
        <v>2</v>
      </c>
      <c r="C17" s="52" t="s">
        <v>1600</v>
      </c>
      <c r="D17" s="25" t="s">
        <v>1617</v>
      </c>
      <c r="E17" s="39" t="s">
        <v>1618</v>
      </c>
      <c r="F17" s="39"/>
    </row>
    <row r="18" spans="1:6" ht="90">
      <c r="A18" s="17">
        <v>17</v>
      </c>
      <c r="B18" s="17">
        <v>2</v>
      </c>
      <c r="C18" s="52" t="s">
        <v>1593</v>
      </c>
      <c r="D18" s="39" t="s">
        <v>1619</v>
      </c>
      <c r="E18" s="39" t="s">
        <v>1620</v>
      </c>
      <c r="F18" s="39"/>
    </row>
    <row r="19" spans="1:6" ht="60">
      <c r="A19" s="17">
        <v>18</v>
      </c>
      <c r="B19" s="17">
        <v>2</v>
      </c>
      <c r="C19" s="52" t="s">
        <v>1600</v>
      </c>
      <c r="D19" s="25" t="s">
        <v>1621</v>
      </c>
      <c r="E19" s="39" t="s">
        <v>1622</v>
      </c>
      <c r="F19" s="16"/>
    </row>
    <row r="20" spans="1:6">
      <c r="A20" s="17">
        <v>19</v>
      </c>
      <c r="B20" s="17">
        <v>2</v>
      </c>
      <c r="C20" s="52" t="s">
        <v>1593</v>
      </c>
      <c r="D20" s="25" t="s">
        <v>1623</v>
      </c>
      <c r="E20" s="39" t="s">
        <v>1624</v>
      </c>
      <c r="F20" s="16"/>
    </row>
    <row r="21" spans="1:6">
      <c r="A21" s="17">
        <v>20</v>
      </c>
      <c r="B21" s="17">
        <v>3</v>
      </c>
      <c r="C21" s="52" t="s">
        <v>1600</v>
      </c>
      <c r="D21" s="36" t="s">
        <v>1625</v>
      </c>
      <c r="E21" s="25" t="s">
        <v>1626</v>
      </c>
      <c r="F21" s="16"/>
    </row>
    <row r="22" spans="1:6" ht="60">
      <c r="A22" s="17">
        <v>21</v>
      </c>
      <c r="B22" s="17">
        <v>4</v>
      </c>
      <c r="C22" s="52" t="s">
        <v>1586</v>
      </c>
      <c r="D22" s="41" t="s">
        <v>1627</v>
      </c>
      <c r="E22" s="43" t="s">
        <v>1628</v>
      </c>
      <c r="F22" s="39" t="s">
        <v>1629</v>
      </c>
    </row>
    <row r="23" spans="1:6">
      <c r="A23" s="17">
        <v>22</v>
      </c>
      <c r="B23" s="17">
        <v>4</v>
      </c>
      <c r="C23" s="52" t="s">
        <v>1586</v>
      </c>
      <c r="D23" s="25" t="s">
        <v>1630</v>
      </c>
      <c r="E23" s="25" t="s">
        <v>1631</v>
      </c>
      <c r="F23" s="39" t="s">
        <v>810</v>
      </c>
    </row>
    <row r="24" spans="1:6" ht="60">
      <c r="A24" s="17">
        <v>23</v>
      </c>
      <c r="B24" s="17">
        <v>4</v>
      </c>
      <c r="C24" s="52" t="s">
        <v>1586</v>
      </c>
      <c r="D24" s="25" t="s">
        <v>1632</v>
      </c>
      <c r="E24" s="44" t="s">
        <v>1633</v>
      </c>
      <c r="F24" s="39" t="s">
        <v>1634</v>
      </c>
    </row>
    <row r="25" spans="1:6">
      <c r="A25" s="17">
        <v>24</v>
      </c>
      <c r="B25" s="17">
        <v>4</v>
      </c>
      <c r="C25" s="52" t="s">
        <v>1586</v>
      </c>
      <c r="D25" s="25" t="s">
        <v>1635</v>
      </c>
      <c r="E25" s="25" t="s">
        <v>1636</v>
      </c>
      <c r="F25" s="25" t="s">
        <v>875</v>
      </c>
    </row>
    <row r="26" spans="1:6" ht="30">
      <c r="A26" s="17">
        <v>25</v>
      </c>
      <c r="B26" s="17">
        <v>4</v>
      </c>
      <c r="C26" s="52" t="s">
        <v>1593</v>
      </c>
      <c r="D26" s="25" t="s">
        <v>1637</v>
      </c>
      <c r="E26" s="45" t="s">
        <v>1638</v>
      </c>
      <c r="F26" s="39" t="s">
        <v>1639</v>
      </c>
    </row>
    <row r="27" spans="1:6" ht="75">
      <c r="A27" s="17">
        <v>26</v>
      </c>
      <c r="B27" s="17">
        <v>4</v>
      </c>
      <c r="C27" s="52" t="s">
        <v>1593</v>
      </c>
      <c r="D27" s="25" t="s">
        <v>1640</v>
      </c>
      <c r="E27" s="44" t="s">
        <v>1641</v>
      </c>
      <c r="F27" s="25" t="s">
        <v>693</v>
      </c>
    </row>
    <row r="28" spans="1:6">
      <c r="A28" s="17">
        <v>27</v>
      </c>
      <c r="B28" s="17">
        <v>4</v>
      </c>
      <c r="C28" s="51" t="s">
        <v>1600</v>
      </c>
      <c r="D28" s="25" t="s">
        <v>1642</v>
      </c>
      <c r="E28" s="45" t="s">
        <v>1643</v>
      </c>
      <c r="F28" s="25" t="s">
        <v>918</v>
      </c>
    </row>
    <row r="29" spans="1:6">
      <c r="A29" s="17">
        <v>28</v>
      </c>
      <c r="B29" s="17">
        <v>4</v>
      </c>
      <c r="C29" s="51" t="s">
        <v>1600</v>
      </c>
      <c r="D29" s="41" t="s">
        <v>1644</v>
      </c>
      <c r="E29" s="45" t="s">
        <v>1645</v>
      </c>
      <c r="F29" s="25" t="s">
        <v>685</v>
      </c>
    </row>
    <row r="30" spans="1:6" ht="30">
      <c r="A30" s="17">
        <v>29</v>
      </c>
      <c r="B30" s="17">
        <v>4</v>
      </c>
      <c r="C30" s="51" t="s">
        <v>1600</v>
      </c>
      <c r="D30" s="25" t="s">
        <v>1646</v>
      </c>
      <c r="E30" s="45" t="s">
        <v>1647</v>
      </c>
      <c r="F30" s="39" t="s">
        <v>1648</v>
      </c>
    </row>
    <row r="31" spans="1:6" ht="90">
      <c r="A31" s="17">
        <v>30</v>
      </c>
      <c r="B31" s="17">
        <v>4</v>
      </c>
      <c r="C31" s="25" t="s">
        <v>423</v>
      </c>
      <c r="D31" s="39" t="s">
        <v>1649</v>
      </c>
      <c r="E31" s="39" t="s">
        <v>1650</v>
      </c>
      <c r="F31" s="39" t="s">
        <v>1651</v>
      </c>
    </row>
    <row r="32" spans="1:6">
      <c r="A32" s="17">
        <v>31</v>
      </c>
      <c r="B32" s="17">
        <v>5</v>
      </c>
      <c r="C32" s="51" t="s">
        <v>1652</v>
      </c>
      <c r="D32" s="41" t="s">
        <v>1653</v>
      </c>
      <c r="E32" s="42"/>
      <c r="F32" s="39" t="s">
        <v>713</v>
      </c>
    </row>
    <row r="33" spans="1:6">
      <c r="A33" s="17">
        <v>32</v>
      </c>
      <c r="B33" s="17">
        <v>5</v>
      </c>
      <c r="C33" s="51" t="s">
        <v>1652</v>
      </c>
      <c r="D33" s="25" t="s">
        <v>1654</v>
      </c>
      <c r="E33" s="39" t="s">
        <v>1655</v>
      </c>
      <c r="F33" s="39" t="s">
        <v>810</v>
      </c>
    </row>
    <row r="34" spans="1:6" ht="45">
      <c r="A34" s="17">
        <v>33</v>
      </c>
      <c r="B34" s="17">
        <v>5</v>
      </c>
      <c r="C34" s="51" t="s">
        <v>1652</v>
      </c>
      <c r="D34" s="39" t="s">
        <v>1656</v>
      </c>
      <c r="E34" s="39" t="s">
        <v>1657</v>
      </c>
      <c r="F34" s="25" t="s">
        <v>967</v>
      </c>
    </row>
    <row r="35" spans="1:6" ht="45">
      <c r="A35" s="17">
        <v>34</v>
      </c>
      <c r="B35" s="17">
        <v>5</v>
      </c>
      <c r="C35" s="51" t="s">
        <v>1652</v>
      </c>
      <c r="D35" s="41" t="s">
        <v>1658</v>
      </c>
      <c r="E35" s="39" t="s">
        <v>1659</v>
      </c>
      <c r="F35" s="39" t="s">
        <v>1660</v>
      </c>
    </row>
    <row r="36" spans="1:6" ht="45">
      <c r="A36" s="17">
        <v>35</v>
      </c>
      <c r="B36" s="17">
        <v>5</v>
      </c>
      <c r="C36" s="51" t="s">
        <v>1652</v>
      </c>
      <c r="D36" s="25" t="s">
        <v>1661</v>
      </c>
      <c r="E36" s="39" t="s">
        <v>1662</v>
      </c>
      <c r="F36" s="39" t="s">
        <v>1663</v>
      </c>
    </row>
    <row r="37" spans="1:6" ht="30">
      <c r="A37" s="17">
        <v>36</v>
      </c>
      <c r="B37" s="17">
        <v>5</v>
      </c>
      <c r="C37" s="51" t="s">
        <v>1652</v>
      </c>
      <c r="D37" s="25" t="s">
        <v>1664</v>
      </c>
      <c r="E37" s="39" t="s">
        <v>1665</v>
      </c>
      <c r="F37" s="39" t="s">
        <v>967</v>
      </c>
    </row>
  </sheetData>
  <phoneticPr fontId="19"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42b34247-24dc-4868-8c47-80c0cd8a6940">
      <Terms xmlns="http://schemas.microsoft.com/office/infopath/2007/PartnerControls"/>
    </lcf76f155ced4ddcb4097134ff3c332f>
    <TaxCatchAll xmlns="b7ee0dc0-3e79-4d38-8cf1-87f346146b13" xsi:nil="true"/>
    <_ip_UnifiedCompliancePolicyProperties xmlns="http://schemas.microsoft.com/sharepoint/v3"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58EEE330B86274EA0D3D6E188913412" ma:contentTypeVersion="26" ma:contentTypeDescription="Create a new document." ma:contentTypeScope="" ma:versionID="1256cd5928e9c1aba0eedb361010f3bb">
  <xsd:schema xmlns:xsd="http://www.w3.org/2001/XMLSchema" xmlns:xs="http://www.w3.org/2001/XMLSchema" xmlns:p="http://schemas.microsoft.com/office/2006/metadata/properties" xmlns:ns1="http://schemas.microsoft.com/sharepoint/v3" xmlns:ns2="b7ee0dc0-3e79-4d38-8cf1-87f346146b13" xmlns:ns3="42b34247-24dc-4868-8c47-80c0cd8a6940" targetNamespace="http://schemas.microsoft.com/office/2006/metadata/properties" ma:root="true" ma:fieldsID="9745a21e675a185323de61a0709e0064" ns1:_="" ns2:_="" ns3:_="">
    <xsd:import namespace="http://schemas.microsoft.com/sharepoint/v3"/>
    <xsd:import namespace="b7ee0dc0-3e79-4d38-8cf1-87f346146b13"/>
    <xsd:import namespace="42b34247-24dc-4868-8c47-80c0cd8a6940"/>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DateTaken" minOccurs="0"/>
                <xsd:element ref="ns1:_ip_UnifiedCompliancePolicyProperties" minOccurs="0"/>
                <xsd:element ref="ns1:_ip_UnifiedCompliancePolicyUIAction" minOccurs="0"/>
                <xsd:element ref="ns3:MediaServiceEventHashCode" minOccurs="0"/>
                <xsd:element ref="ns3:MediaServiceGenerationTime" minOccurs="0"/>
                <xsd:element ref="ns3:MediaServiceOCR"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SearchProperties" minOccurs="0"/>
                <xsd:element ref="ns3:MediaServiceObjectDetectorVersion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6" nillable="true" ma:displayName="Unified Compliance Policy Properties" ma:hidden="true" ma:internalName="_ip_UnifiedCompliancePolicyProperties" ma:readOnly="false">
      <xsd:simpleType>
        <xsd:restriction base="dms:Note"/>
      </xsd:simpleType>
    </xsd:element>
    <xsd:element name="_ip_UnifiedCompliancePolicyUIAction" ma:index="17"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7ee0dc0-3e79-4d38-8cf1-87f346146b13" elementFormDefault="qualified">
    <xsd:import namespace="http://schemas.microsoft.com/office/2006/documentManagement/types"/>
    <xsd:import namespace="http://schemas.microsoft.com/office/infopath/2007/PartnerControls"/>
    <xsd:element name="SharedWithUsers" ma:index="8" nillable="true" ma:displayName="Shared With" ma:description=""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hidden="true" ma:internalName="SharedWithDetails" ma:readOnly="true">
      <xsd:simpleType>
        <xsd:restriction base="dms:Note"/>
      </xsd:simpleType>
    </xsd:element>
    <xsd:element name="LastSharedByUser" ma:index="10" nillable="true" ma:displayName="Last Shared By User" ma:description="" ma:hidden="true" ma:internalName="LastSharedByUser" ma:readOnly="true">
      <xsd:simpleType>
        <xsd:restriction base="dms:Note"/>
      </xsd:simpleType>
    </xsd:element>
    <xsd:element name="LastSharedByTime" ma:index="11" nillable="true" ma:displayName="Last Shared By Time" ma:description="" ma:hidden="true" ma:internalName="LastSharedByTime" ma:readOnly="true">
      <xsd:simpleType>
        <xsd:restriction base="dms:DateTime"/>
      </xsd:simpleType>
    </xsd:element>
    <xsd:element name="TaxCatchAll" ma:index="26" nillable="true" ma:displayName="Taxonomy Catch All Column" ma:hidden="true" ma:list="{728224f5-0242-4223-8afd-4bdcdc5c191e}" ma:internalName="TaxCatchAll" ma:showField="CatchAllData" ma:web="b7ee0dc0-3e79-4d38-8cf1-87f346146b1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2b34247-24dc-4868-8c47-80c0cd8a6940"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hidden="true" ma:internalName="MediaServiceAutoTags"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OCR" ma:index="20" nillable="true" ma:displayName="Extracted Text" ma:hidden="true" ma:internalName="MediaServiceOCR" ma:readOnly="true">
      <xsd:simpleType>
        <xsd:restriction base="dms:Note"/>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hidden="true" ma:internalName="MediaServiceKeyPoints" ma:readOnly="true">
      <xsd:simpleType>
        <xsd:restriction base="dms:Note"/>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8f7e2c4-d129-418e-a7c7-968ad538c406" ma:termSetId="09814cd3-568e-fe90-9814-8d621ff8fb84" ma:anchorId="fba54fb3-c3e1-fe81-a776-ca4b69148c4d" ma:open="true" ma:isKeyword="false">
      <xsd:complexType>
        <xsd:sequence>
          <xsd:element ref="pc:Terms" minOccurs="0" maxOccurs="1"/>
        </xsd:sequence>
      </xsd:complex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ServiceObjectDetectorVersions" ma:index="28" nillable="true" ma:displayName="MediaServiceObjectDetectorVersions" ma:hidden="true" ma:indexed="true" ma:internalName="MediaServiceObjectDetectorVersions" ma:readOnly="true">
      <xsd:simpleType>
        <xsd:restriction base="dms:Text"/>
      </xsd:simpleType>
    </xsd:element>
    <xsd:element name="MediaServiceLocation" ma:index="29"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ADBB837-4874-4B17-92A2-56B872E183A7}">
  <ds:schemaRefs>
    <ds:schemaRef ds:uri="http://schemas.microsoft.com/office/2006/documentManagement/types"/>
    <ds:schemaRef ds:uri="http://purl.org/dc/elements/1.1/"/>
    <ds:schemaRef ds:uri="http://schemas.microsoft.com/office/2006/metadata/properties"/>
    <ds:schemaRef ds:uri="http://schemas.microsoft.com/office/infopath/2007/PartnerControls"/>
    <ds:schemaRef ds:uri="http://schemas.microsoft.com/sharepoint/v3"/>
    <ds:schemaRef ds:uri="http://schemas.openxmlformats.org/package/2006/metadata/core-properties"/>
    <ds:schemaRef ds:uri="http://purl.org/dc/terms/"/>
    <ds:schemaRef ds:uri="42b34247-24dc-4868-8c47-80c0cd8a6940"/>
    <ds:schemaRef ds:uri="b7ee0dc0-3e79-4d38-8cf1-87f346146b13"/>
    <ds:schemaRef ds:uri="http://www.w3.org/XML/1998/namespace"/>
    <ds:schemaRef ds:uri="http://purl.org/dc/dcmitype/"/>
  </ds:schemaRefs>
</ds:datastoreItem>
</file>

<file path=customXml/itemProps2.xml><?xml version="1.0" encoding="utf-8"?>
<ds:datastoreItem xmlns:ds="http://schemas.openxmlformats.org/officeDocument/2006/customXml" ds:itemID="{96C648A5-C3EA-4476-A58D-027E42F8A3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7ee0dc0-3e79-4d38-8cf1-87f346146b13"/>
    <ds:schemaRef ds:uri="42b34247-24dc-4868-8c47-80c0cd8a69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FF31573-2101-485B-AE43-39D30B56D70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Data in EN</vt:lpstr>
      <vt:lpstr>Beauty Index</vt:lpstr>
      <vt:lpstr>Section 1</vt:lpstr>
      <vt:lpstr>Section 2</vt:lpstr>
      <vt:lpstr>Section 3</vt:lpstr>
      <vt:lpstr>Section 4</vt:lpstr>
      <vt:lpstr>Section 5</vt:lpstr>
      <vt:lpstr>Config Requirements</vt:lpstr>
      <vt:lpstr>Config Requirements_New</vt:lpstr>
      <vt:lpstr>Sec 1 Columns</vt:lpstr>
      <vt:lpstr>Questions to be discussed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2015-06-05T18:17:20Z</dcterms:created>
  <dcterms:modified xsi:type="dcterms:W3CDTF">2025-07-25T04:45:32Z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0x010100458EEE330B86274EA0D3D6E188913412</vt:lpwstr>
  </property>
  <property fmtid="{D5CDD505-2E9C-101B-9397-08002B2CF9AE}" pid="3" name="MediaServiceImageTags">
    <vt:lpwstr/>
  </property>
</Properties>
</file>